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updateLinks="never"/>
  <mc:AlternateContent xmlns:mc="http://schemas.openxmlformats.org/markup-compatibility/2006">
    <mc:Choice Requires="x15">
      <x15ac:absPath xmlns:x15ac="http://schemas.microsoft.com/office/spreadsheetml/2010/11/ac" url="E:\enterprise-ai-platform\"/>
    </mc:Choice>
  </mc:AlternateContent>
  <xr:revisionPtr revIDLastSave="0" documentId="13_ncr:1_{624B83A8-98F1-47B3-AB10-EE80F741DF59}" xr6:coauthVersionLast="36" xr6:coauthVersionMax="36" xr10:uidLastSave="{00000000-0000-0000-0000-000000000000}"/>
  <bookViews>
    <workbookView xWindow="-108" yWindow="-108" windowWidth="25812" windowHeight="15492" tabRatio="640" activeTab="5" xr2:uid="{00000000-000D-0000-FFFF-FFFF00000000}"/>
  </bookViews>
  <sheets>
    <sheet name="基设网安" sheetId="1" r:id="rId1"/>
    <sheet name="业务经营" sheetId="2" r:id="rId2"/>
    <sheet name="管理应用" sheetId="3" r:id="rId3"/>
    <sheet name="生产运营" sheetId="4" r:id="rId4"/>
    <sheet name="瑞恒基地" sheetId="5" r:id="rId5"/>
    <sheet name="基础数据" sheetId="6" r:id="rId6"/>
    <sheet name="产业链BP" sheetId="7" r:id="rId7"/>
  </sheets>
  <externalReferences>
    <externalReference r:id="rId8"/>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1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马天明</author>
  </authors>
  <commentList>
    <comment ref="B22" authorId="0" shapeId="0" xr:uid="{2C968E60-22C8-4EA7-82D0-5D6D91B6758D}">
      <text>
        <r>
          <rPr>
            <sz val="9"/>
            <color indexed="81"/>
            <rFont val="Tahoma"/>
            <family val="2"/>
          </rPr>
          <t>瑞恒：1套装置；
瑞祥：9套装置；
瑞泰：待定。</t>
        </r>
      </text>
    </comment>
    <comment ref="B38" authorId="0" shapeId="0" xr:uid="{7242CD5A-EA2E-4802-8FF4-743F58F7E985}">
      <text>
        <r>
          <rPr>
            <sz val="9"/>
            <color indexed="81"/>
            <rFont val="Tahoma"/>
            <family val="2"/>
          </rPr>
          <t>马天明: 
原中间体事业部设备管理平台提级为化工事业部平台。</t>
        </r>
      </text>
    </comment>
  </commentList>
</comments>
</file>

<file path=xl/sharedStrings.xml><?xml version="1.0" encoding="utf-8"?>
<sst xmlns="http://schemas.openxmlformats.org/spreadsheetml/2006/main" count="2750" uniqueCount="2141">
  <si>
    <t>项目名称</t>
  </si>
  <si>
    <t>填报人</t>
  </si>
  <si>
    <t>项目状态</t>
  </si>
  <si>
    <t>项目阶段</t>
  </si>
  <si>
    <t>待办及重点提示</t>
  </si>
  <si>
    <t>工作成果</t>
  </si>
  <si>
    <t>十二月</t>
  </si>
  <si>
    <t>一月</t>
  </si>
  <si>
    <t>二月</t>
  </si>
  <si>
    <t>三月</t>
  </si>
  <si>
    <t>四月</t>
  </si>
  <si>
    <t>五月</t>
  </si>
  <si>
    <t>六月</t>
  </si>
  <si>
    <t>七月</t>
  </si>
  <si>
    <t>八月</t>
  </si>
  <si>
    <t>九月</t>
  </si>
  <si>
    <t>十月</t>
  </si>
  <si>
    <t>十一月</t>
  </si>
  <si>
    <t>重要里程碑</t>
  </si>
  <si>
    <t>第一周（12/02-12/06)</t>
  </si>
  <si>
    <t>第二周（12/9-13/13)</t>
  </si>
  <si>
    <t>第三周（12/16-12/20)</t>
  </si>
  <si>
    <t>第四周（12/23-12/27)</t>
  </si>
  <si>
    <t>第一周（12/30-1/5）</t>
  </si>
  <si>
    <t>第二周（1/6-1/10）</t>
  </si>
  <si>
    <t>第三周（1/13-1/17）</t>
  </si>
  <si>
    <t>第四周（1/20-1/24）</t>
  </si>
  <si>
    <t>第一周（2/5-2/8）</t>
  </si>
  <si>
    <t>第二周（2/10-2/14）</t>
  </si>
  <si>
    <t>第三周（2/17-2/21）</t>
  </si>
  <si>
    <t>第四周（2/24-2/28）</t>
  </si>
  <si>
    <t>第一周（3/3-3/7）</t>
  </si>
  <si>
    <t>第二周（3/10-3/14）</t>
  </si>
  <si>
    <t>第三周（3/17-3/21）</t>
  </si>
  <si>
    <t>第四周（3/24-3/28）</t>
  </si>
  <si>
    <t>第一周（3/31-4/4）</t>
  </si>
  <si>
    <t>第二周（4/7-4/11）</t>
  </si>
  <si>
    <t>第三周（4/14-4/18）</t>
  </si>
  <si>
    <t>第四周（4/21-4/25）</t>
  </si>
  <si>
    <t>第五周（4/27-4/30）</t>
  </si>
  <si>
    <t>第一周（5/6-5/9）</t>
  </si>
  <si>
    <t>第二周（5/12-5/16）</t>
  </si>
  <si>
    <t>第三周（5/19-5/23）</t>
  </si>
  <si>
    <t>第四周（5/26-5/30）</t>
  </si>
  <si>
    <t>第一周（6/3-6/6）</t>
  </si>
  <si>
    <t>第二周（6/9-6/13）</t>
  </si>
  <si>
    <t>第三周（6/16-6/20）</t>
  </si>
  <si>
    <t>第四周（6/23-6/27）</t>
  </si>
  <si>
    <t>第一周（6/30-7/4）</t>
  </si>
  <si>
    <t>第二周（7/7-7/11）</t>
  </si>
  <si>
    <t>第三周（7/14-7/18）</t>
  </si>
  <si>
    <t>第四周（7/21-7/25）</t>
  </si>
  <si>
    <t>第五周（7/28-8/1）</t>
  </si>
  <si>
    <t>第一周（8/4-8/8）</t>
  </si>
  <si>
    <t>第二周（8/11-8/15）</t>
  </si>
  <si>
    <t>第三周（8/18-8/22）</t>
  </si>
  <si>
    <t>第四周（8/25-8/29）</t>
  </si>
  <si>
    <t>第一周（9/1-9/5）</t>
  </si>
  <si>
    <t xml:space="preserve">第二周（9/8-9/12）
</t>
  </si>
  <si>
    <t>第三周（9/15-9/19）</t>
  </si>
  <si>
    <t>第四周（9/22-9/26）</t>
  </si>
  <si>
    <t>第五周（9/28-9/30）</t>
  </si>
  <si>
    <t>第一周（10/9-10/11）</t>
  </si>
  <si>
    <t>第二周（10/13-10/17）</t>
  </si>
  <si>
    <t>第三周（10/20-10/24）</t>
  </si>
  <si>
    <t>第四周（10/27-10/31）</t>
  </si>
  <si>
    <t>第一周（11/3-11/7）</t>
  </si>
  <si>
    <t>第二周（11/10-11/14）</t>
  </si>
  <si>
    <t>第三周（11/17-11/21）</t>
  </si>
  <si>
    <t>第四周（11/24-11/28）</t>
  </si>
  <si>
    <t>第一周（12/1-12/5）</t>
  </si>
  <si>
    <t>第二周（12/8-12/12）</t>
  </si>
  <si>
    <t>第三周（12/15-12/19）</t>
  </si>
  <si>
    <t>第四周（12/22-12/26）</t>
  </si>
  <si>
    <t>第五周（12/29-12/31）</t>
  </si>
  <si>
    <t>实施启动</t>
  </si>
  <si>
    <t>方案确认</t>
  </si>
  <si>
    <t>交付上线</t>
  </si>
  <si>
    <t>项目验收</t>
  </si>
  <si>
    <t>信创和正版化
2024&amp;2025</t>
  </si>
  <si>
    <t>陈圣</t>
  </si>
  <si>
    <t>02-正常进行</t>
  </si>
  <si>
    <t>01-准备/可研</t>
  </si>
  <si>
    <t>正版化发现安装盗版软件问题，要将违规人员通报相关主管领导，信创方案确认是否需要完成5个项目，尽快落实后续的项目的确认（设备管理系统）统计可能采购需求</t>
  </si>
  <si>
    <t>计划</t>
  </si>
  <si>
    <t>1、完成剩余条线的信创工作计划和等保情况说明。
2、完成2024年信创改造立项报告审批，并启动相关工作
3、完成2024年第四季度信创工作总结，提交兰总审批</t>
  </si>
  <si>
    <t>1、完成全部条线的信创工作计划和等保情况说明。
2、完成2024年信创改造立项报告审批，并启动相关工作
3、完成2024年第四季度信创工作总结，提交兰总审批</t>
  </si>
  <si>
    <t>1、完成全部条线的信创工作计划和等保情况说明。
2、完成信创立项审批，启动三个系统的单一来源采购。
3、周一会议对信创工作后续计划进行确认，提交兰总审批</t>
  </si>
  <si>
    <t>1、发起化工事业部黑名单系统、江苏医药SCM系统的合同流程
2、与研发云平台供应商中化信息沟通工作内容和商务细节，并尽快发起商务流程
3、发起AspenPlus软件续签立项流程</t>
  </si>
  <si>
    <t>1、持续跟踪信创合同审批流程
2、持续跟踪AspenPlus软件立项流程审批情况</t>
  </si>
  <si>
    <t>1、持续跟踪剩余两个信创合同审批流程
2、持续跟踪AspenPlus软件立项流程审批情况
3、准备2025年5个信创系统的计划</t>
  </si>
  <si>
    <t>1、陆续开始对黑名单系统、研发云平台、江苏医药SCM系统开展信创改造实施（等待中化信息的信创软件就位）
2、对已梳理出的2025年即将参与信创改造的系统进行逐个联系沟通，与业务负责人对接确定工作计划</t>
  </si>
  <si>
    <t>1、配置完信创系统服务器，与供应商联系开展实施工作
2、对已梳理出的2025年即将参与信创改造的系统进行逐个联系沟通，与业务负责人对接确定工作计划</t>
  </si>
  <si>
    <t>1、部署服务器达梦数据库，SCM系统与黑名单系统数据库共用，并形成主备。完成后联系供应商开展部署工作。
2、根据前期梳理的2025年信创改造计划，梳理信创改造配套资源需求（服务器、数据库、架构等），启动2025年信创改造立项（2月底前完成）</t>
  </si>
  <si>
    <t xml:space="preserve">1、评估信用风险大数据系统的服务器资源费用以及信创软件许可费用
2、继续沟通设备管理系统的信创需求，输出服务器资源及信创需求
</t>
  </si>
  <si>
    <t>1、梳理设备管理系统的服务器资源需求
2、评估云盘系统的信创服务器资源费用
3、梳理碳管家系统的信创需求</t>
  </si>
  <si>
    <t>1，评估碳管家系统信创服务器资源的费用，与供应商协商压降实施费用
2，评估EAM系统信创服务器资源的费用以及改造实施的费用
3，梳理出加密软件服务器资源清单并计算出资源费用</t>
  </si>
  <si>
    <t>1、完成EAM系统的信创改造资源和费用
2、与相关领导进行确认完善立项报告</t>
  </si>
  <si>
    <t>1、与EAM系统供应商确认信创改造实施费用和工作计划
2、完善信创改造立项报告</t>
  </si>
  <si>
    <t>1、补充立项报告中的4项内容，交于关总审核</t>
  </si>
  <si>
    <t>待关总审阅后发起立项流程</t>
  </si>
  <si>
    <t>沟通网盘和加密系统信创改造的费用压降</t>
  </si>
  <si>
    <t>发起立项流程</t>
  </si>
  <si>
    <t>和兰总沟通费用问题，发起立项流程</t>
  </si>
  <si>
    <t>1.完成扬农集团部分单位软件正版化工作整改和检查
2.等待与兰总对信创改造工作的报价进行优化讨论</t>
  </si>
  <si>
    <t>与兰总对信创改造工作的报价进行优化讨论,确定2025年信创立项方案</t>
  </si>
  <si>
    <t>暂无进展</t>
  </si>
  <si>
    <t>待与兰总对信创改造工作的报价进行优化讨论</t>
  </si>
  <si>
    <t>跟进立项审批流程，起草合同初稿</t>
  </si>
  <si>
    <t>起草合同初稿</t>
  </si>
  <si>
    <t>推进合同审批</t>
  </si>
  <si>
    <t>1、商务合同持续推进中
2、提前准备服务器资源，准备服务器资源申请表</t>
  </si>
  <si>
    <t>4个系统信创改造持续推进，汇报服务器资源申请情况和信创软件部署情况</t>
  </si>
  <si>
    <t>4个系统信创改造持续推进中</t>
  </si>
  <si>
    <t>4个系统信创改造持续推进中；设备管理系统；网站信创情况</t>
  </si>
  <si>
    <t>1、网盘提交服务器资源申请流程
2、信用风险大数据：针对查询慢的功能点进行优化
3、碳管家：开展信创生产环境迁移，对信创生产环境与现有生产环境数据核对。</t>
  </si>
  <si>
    <t xml:space="preserve">
</t>
  </si>
  <si>
    <t xml:space="preserve">      </t>
  </si>
  <si>
    <t>9月15</t>
  </si>
  <si>
    <t>12月30</t>
  </si>
  <si>
    <t>成果</t>
  </si>
  <si>
    <t>1、完成全部条线的信创工作计划和等保情况说明。
2、完成2024年信创改造立项报告审批（兰总）
3、准备2024年第四季度信创工作总结，提交兰总审批</t>
  </si>
  <si>
    <t xml:space="preserve">1、完成3个系统的信创改造立项审批（化工事业部黑名单系统、江苏医药SCM系统、化工事业部研发云平台）
2、完成2个系统的单一来源谈判会议并形成会议纪要（化工事业部黑名单系统、江苏医药SCM系统，最终谈判金额分别为21万和7.6万）
</t>
  </si>
  <si>
    <t>1、已发起黑名单系统、SCM系统、研发云平台三个系统的信创改造合同流程
2、已发起AspenPlus软件立项流程</t>
  </si>
  <si>
    <t>1、中化信息-研发云平台信创改造合同已完成签署
2、黑名单系统和中化医药SCM系统流程审批中
3、AspenPlus软件立项流程审批中-庞总
4、2025年更新信创系统方案，综合办公类：1、联想云盘60万元 2、碳管家 6万元 3、信用大数据 50万元 4、文件加密系统  30万元 5、3个 EAM系统的信创方案目前还没完成</t>
  </si>
  <si>
    <t>1、黑名单系统、研发云平台、江苏医药SCM系统商务合同均已完成签署
2、AspenPlus软件立项流程已完成审批
3、已梳理出2025年信创系统清单，如下:
应用系统-业务负责人：
联想云盘 - 黄亮
碳管家 -姜丽丽
信用大数据 -吴在华
文件加密 - 黄亮
3个EAM 系统- 姜丽丽</t>
  </si>
  <si>
    <t>1、信创操作系统、数据库、中间件已采购，正在与中化信息对接实施服务器配置
2、2025年计划改造的信创系统正在逐个进行联系沟通，并工作计划</t>
  </si>
  <si>
    <t>1、完成信创操作系统部署和东方通中间件部署，剩下达梦数据库未部署
2、对已梳理出的2025年即将参与信创改造的系统进行逐个联系沟通，与业务负责人对接确定工作计划（计划于2月底完成）</t>
  </si>
  <si>
    <t>1、已完成黑名单系统和SCM系统的信创服务器操作系统、数据库和中间件的部署，系统供应商已经开始开展应用系统的信创实施，实施周期为2个月。
2、已梳理出信用风险大数据系统的服务器资源需求清单及信创需求，正在评估费用预算；设备管理系统正在和供应商沟通需求中，剩余3个系统待沟通。</t>
  </si>
  <si>
    <t>1、已评估出信用风险大数据系统的服务器资源费用，信创许可费用，等5各系统服务器数量统计好后一起算
2、设备管理系统的信创需求，正在梳理中
3、云盘系统的信创服务器资源需求已确认</t>
  </si>
  <si>
    <t>2025年5个信创系统进展：
1，EAM系统信创服务器资源上周暂未提供，本周继续跟进，改造的实施费用本周沟通
2，信用大数据系统和网盘系统信创服务器资源费用已计算，改造的实施费用本周计算出
3，圣奥碳管家系统信创改造与供应商做了一次沟通，供应商实施费用报价从7.6万调整为13.6万，正在进一步评估，服务器资源清单已提供，本周核算金额
4，加密系统信创改造计划正在沟通中，经初步沟通，服务器资源清正在梳理中，实施费用预计为45万</t>
  </si>
  <si>
    <t>1.评估EAM系统、碳管家信创服务器资源的费用以及改造实施的费用
2.梳理出加密软件服务器资源清单并计算出资源费用
3.完成2025年度信创改造的立项报告初稿</t>
  </si>
  <si>
    <t>1、与EAM系统供应商交流信创改造的事实费用，正在评估中，本周还无法给出
2、完善立项报告</t>
  </si>
  <si>
    <t>1、已统计出4个信创系统每年服务器资源的租赁费用
2、根据服务器数量和数据库的数量（服务器30台、数据库6台），确定了操作系统、数据库、中间件的采购数量（操作系统15套、数据库6套、中间件10套）
3、完善立项报告，正在与各应用系统负责人沟通，补充立项报告中的4项内容：1、系统的现有使用用户情况描述 2、系统改造后的运维成本 3、信创服务器租赁后，现有系统改造后的资源回收情况说明 4、改造过程是否会系统计划停机，对用户造成的影响</t>
  </si>
  <si>
    <t>已完善立项报告，交由关总审阅，待审阅通过后发起立项流程</t>
  </si>
  <si>
    <t>初稿已完成，网盘和加密系统信创改造费用还需压降</t>
  </si>
  <si>
    <t>经与供应商沟通，网盘和加密软件信创许可的费用无法压降，需要与兰总沟通确认</t>
  </si>
  <si>
    <t>暂未和兰总沟通，待下周沟通</t>
  </si>
  <si>
    <t>1.根据集团通报对扬农集团部分单位软件正版化工作进行督促整改
2.等待与兰总对信创改造工作的报价进行优化讨论</t>
  </si>
  <si>
    <t>等待与兰总对信创改造工作的报价进行优化讨论,确定2025年信创立项方案</t>
  </si>
  <si>
    <t>已完成与兰总的沟通，已发起信创立项审批流程，目前在法务部审批</t>
  </si>
  <si>
    <t>已完成立项审批</t>
  </si>
  <si>
    <t>已完成信创合同，正在走合同审批流程</t>
  </si>
  <si>
    <t xml:space="preserve">
1、碳管家系统处于商务合同签署阶段，计划于7月完成签署，实施周期约1个月，由于相关实施人员8月底才能空出，因此预计实施时间为9月
2、网盘和加密系统的信创合同计划于本周签署完成，网盘计划于7月份开始实施，实施周期4个月，预计10月底完成，加密信创预计于7月份开始实施，实施周期5个月，预计于11月底完成。
3、信用风险大数据系统处于商务合同签署阶段，实施周期约3-4月，计划于10月底前完成。</t>
  </si>
  <si>
    <t>1、网盘、加密、信创许可已完成商务合同签署，信创许可根据需求随时可以到位，网盘和加密中化信息内部正在准备招采流程，预计7月份完成采购流程，8月份开始实施，11月份完成
2、信用风险大数据已完成商务合同签署，已完成服务器资源清单梳理，正在向集团申请服务器资源，预计可以提前完成（10月1日前完成）
3、圣奥碳管家系统本周开了项目讨论会，优化了服务器资源，正在准备签署商务合同，同步准备发起服务器资源申请，预计完成时间为10月份</t>
  </si>
  <si>
    <t>1、网盘、加密，8月份开始实施，预计11月完成
2、信用风险大数据系统已开始实施，10月完成
3、碳管家系统预计9月份开始实施，10月份完成</t>
  </si>
  <si>
    <t>1、网盘系统：中化信息内部招采流程进行中，上周完成采购文件的确认，本周由中化商务发出标书开始采购，采购周期约为8-10个工作日。
2、加密系统：扬农旧加密系统与国际加密系统兼容性测试，结论：新旧加密系统可以在不同安全域的情况下，转换成新加密系统的加密文件。与扬农开展关于新旧加密切换需求讨论会议，结论：根据会议上领导的需求，决定把扬农作为加密系统信创升级改造试点。
3、碳管家系统：上周完成了商务合同的审批并寄出给供应商。本周完成合同双签，并同步更新项目计划。
4、信用风险大数据系统：上周正在开展信创系统的服务器部署，完成了信创数据库和中间件的部署</t>
  </si>
  <si>
    <t>1、网盘系统：中化信息正在采购流程中，上周委托中化商务已发出采购文件，本周五截止报名，下周一开始评审，整个周期约2-3周，预计9月可以开始实施，原计划不变，预计10月底前完成实施
2、加密系统：上周梳理加密系统现有组织架构，确定信创后试点单位为扬州锂电；配合集团办公室（机要保密部）对加密系统现有版本和信创版本进行国密检查软件（中孚）的兼容性测试，确保在安装加密系统的终端上可以顺利进行国密检查工作；开展了加密系统信创服务端架构讨论，因加密系统保存半年日志可能需要20T容量，所以可能采用信创服务器+机房现存存储的架构进行部署
3、碳管家系统：上周申请了服务器资源，目前正在开通中，同时更新了项目主计划
4、信用风险大数据系统：信创测试环境都完成安装和数据库迁移了，目前还在测试中，生产环境的初始化软件还在安装中；测试环境数据迁移完成 ，服务启动正常 ，生产环境httpserver也同步搭建完成</t>
  </si>
  <si>
    <t>1、网盘系统：上周中化信息已内部已完成采购流程，中标供应商正在公式中，经过与供应商初步沟通，安排实施人员下周前往现场开始实施，实施周期约1个月。
2、加密系统：本周暂无进度更新，中化信息内部正在采购流程中，预计下周完成采购流程。
3、信用风险大数据系统：上周生产服务器的服务已经配置完毕，剩下防火墙的策略没开通，本周配置好策略后开通。 生产环境数据已经迁移完成，正在做相关验证和开发工作。另外，数据完整性已经验证完成 ，现在在做性能测试 ，本周会把没有索引的表，做个检查，同步再加上索引。
4、碳管家系统：上周完成了部分开发功能，BI部分代码已迁移到信创测试服务器，且初步测试完成。信创数据库（人大金仓）已在测试环境部署完成。东方通中间件兼容性测试正在进行中，本周出测试结果。</t>
  </si>
  <si>
    <t>1、上周正在做商务流程的收尾工作，暂无实施进展，本周供应商前往现场开始实施，实施计划不变，周期1个月。
2、加密系统：上周已申请信创服务器3台，并完成了服务器系统环境调试；同时服务器信创达梦数据库、东方通中间件已完成部署
3、信用风险大数据：上周防火墙的配置已完成开通和部署，开始将数据库数据逐步迁移至信创生产环境
4、碳管家系统：上周将碳管家BI系统数据迁移至测试环境进行测试，确认了BI系统可兼容东方通中间件；开展了ETL存储过程测试，确认可兼容人大金仓数据库
5、设备管理系统：上周开了工作会议，就信创改造的方案展开讨论。结论：圣奥服务器确认需要迁移到化工事业部服务器中；新的传输方案需要验证，若无法验证，老服务器进行保留，新的数据存在新的服务器存储，传输方案再进行考虑；服务器部署图根据实际情况再更新</t>
  </si>
  <si>
    <t>1、网盘系统：上周梳理了网盘的服务器数据和清单，本周提交服务器资源申请
2、加密系统：上周完了服务器资源申请和部署，完成了信创数据库、中间件部署。完成对接达梦数据库、准入策略数据迁移、桌管审计策略确认。
本周开展文件服务器部署、生产环境迁移以及加密系统管理平台的使用培训
3、信用风险大数据系统：本金对数据库漏洞进行了升级，并且识别出查询慢的功能点，本周将针对查询慢的功能点进行优化
4、碳管家系统：上周完成测试环境java程序测试、BI报表功能测试 ，核对测试与生产服务器数据。本周开展信创生产环境迁移，对信创生产环境与现有生产环境数据核对。</t>
  </si>
  <si>
    <t>1、网盘系统：上周完成生产环境和测试环境达梦数据库的部署；本周计划部署测试环境应用，开始做定制化接口开发
2、加密系统：完成二开功能和加密切换模块，完成了生产环境的升级；开展扬州锂电软件推送安装，以及组织架构搭建和策略迁移
3、信用风险大数据系统：上周完成星环环境切换（解决了对接达梦数据库的问题），并继续进行SQL语句优化和功能测试。本周继续进行SQL语句优化和功能测试，计划9月27日进行信创生产环境切换
4、碳管家系统：上周富比亚用户正在测试，目前无法检索到数据，正在排查问题，总部访问可以查到。两位铜陵用户在测试，预计本周五反馈测试结果</t>
  </si>
  <si>
    <t xml:space="preserve">1、网盘系统：本周完成应用系统的测试环境部署，下周开始做定制化模块的适配及开发
2、加密系统：完成了化工事业部以及下属单位的组织架构搭建、审批流程配置和策略的迁移，实施了扬州锂电信创加密软件的切换；进行全员信创加密客户端推送（共计2292台）；节后第一周，圣奥总部和各工厂，富比亚，扬农以及中化高纤陆续切换
3、信用风险大数据系统：9月27日完成信创系统正式上线，目前没问题，试运行1个月后可验收
4、碳管家系统：本周还是在进行用户测试，上周遇到的问题已经解决，下周计划让用户测试报告签字。本周已经提交代码做上线前安全检查，预估要节后2周才能出结果
</t>
  </si>
  <si>
    <t>1、网盘系统：服务器调优，解决兼容性问题
2、加密系统：截止上周，已完成扬州锂电信创加密切换，本周计划实施工程塑料事业部、中化河北加密信创切换
3、信用风险大数据信创已完成系统上线，试运行中，目前没有问题
4、碳管家系统：用户端完成功能界面测试，上线安全检测目前供应商没有反馈检查结果，需要继续等待（进行中）。下周计划完成关键用户（富比亚铜陵）测试报告签字，持续跟踪上线安全检测的结果
5、EAM系统：完成立项报告初稿，正在和卢天慧确认，本周完成后，先发给领导审核再提交立项</t>
  </si>
  <si>
    <r>
      <t>1、网盘系统：上周已完成信创服务器搭建，正在做新老系统数据迁移和与信创加密系统文件服务器的对接工作。
2、加密系统：上周已完成中化河北、扬州锂电、工程塑料的信创加密软件替换，目前正在开展对圣奥化学的信创加密替换工作，预计1-2周时间。并且陆续开始着手梳理扬农集团的信创加密软件实施范围。
3、信用风险大数据系统：已完成信创系统实施，正式上线，目前正在观察系统稳定性，暂无异常。
4、碳管家系统：已完成信创系统实施，等待用户测试后，签署用户测试报告，同步在开展系统上线安全检测工作
5、EAM信创立项报告正在完善中，待补充信创系统上线后，原系统需要保留多久，正在评估中，待完善好立项报告后提交立项审批（</t>
    </r>
    <r>
      <rPr>
        <sz val="10"/>
        <color rgb="FFFF0000"/>
        <rFont val="Microsoft YaHei Light"/>
        <family val="2"/>
        <charset val="134"/>
      </rPr>
      <t>抓紧</t>
    </r>
    <r>
      <rPr>
        <sz val="11"/>
        <color theme="1"/>
        <rFont val="等线"/>
        <family val="2"/>
        <scheme val="minor"/>
      </rPr>
      <t xml:space="preserve">）
</t>
    </r>
  </si>
  <si>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2、网盘：已于11月3日正式上线，数据迁移完成试运行一周处理故障4次，故障响应与处理时长均在1小时内，当前运行状态趋于稳定。
3、碳管家系统：已完成系统上线，稳定运行3个月后再验收
4、设备管理系统信创报告已完成，等待卢天慧发起立项</t>
  </si>
  <si>
    <t>1、加密系统：信创实施已基本完成，切换范围：扬州锂电、工程塑料事业部、圣奥化学总部、山东圣奥、泰安圣奥、安徽圣奥、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2、网盘：已于11月3日正式上线，数据已迁移完成，试运行一周期间，处理故障4次，故障响应与处理时长均在1小时内，当前运行状态趋于稳定。
3、碳管家系统：已完成系统上线，稳定运行3个月后再验收
4、设备管理系统信创报告已完成，等待卢天慧发起立项</t>
  </si>
  <si>
    <t>1、加密和网盘系统已完成信创实施，稳定运行1个月后可验收
2、碳管家系统已完成用户上线测试报告签字，稳定运行3个月后可验收
3、设备管理系统信创立项流程目前在添加剂总经理审批（高世明）</t>
  </si>
  <si>
    <t xml:space="preserve">1、加密系统、网盘系统、碳管家系统信创实施后暂无问题，网盘和加密于本月开展验收工作，碳管家在明年2月份验收。
2、EAM信创立项已完成，目前正在签署商务合同，与中化数智签署信创许可合同，与安徽容知签署实施合同，目前正在走单一来源公示流程，合同初稿已经完成。
</t>
  </si>
  <si>
    <t>2024/8</t>
  </si>
  <si>
    <t>2024/7</t>
  </si>
  <si>
    <t>2025/10</t>
  </si>
  <si>
    <t>其他交办事宜（资产租赁、资产转移等）</t>
  </si>
  <si>
    <t>1、腾讯会议：待4月初总部授权后发起腾讯会议询比价采购流程。计划采购：300方会议室*9、1000方会议室*1、企业版账号*100、H.323会议室连接器*10，现官网原价为134580元，具体优惠折扣与供应商谈判后确定。
2、资产租赁进度：资产租赁进度，已完成资产租赁流程信息收集将需求提供至OA运维组，完成框架协议前期沟通及法务预审</t>
  </si>
  <si>
    <t>腾讯会议：统计各单位腾讯会议企业版使用数量需求，下周启动采购流程
资产租赁进度：已完成IT资产租赁流程配置和中化国际方合同用印，待扬州锂电方合同用印</t>
  </si>
  <si>
    <t>腾讯会议：已统计各单位腾讯会议企业版使用数量需求，下周启动采购流程</t>
  </si>
  <si>
    <t xml:space="preserve">腾讯会议：4月21日进行腾讯会议企业版采购立项，由于采购流程较长，5月底前完成采购并上线使用。
</t>
  </si>
  <si>
    <t>1.蔚蓝行动2025前期准备工作启动
2.邮件系统切换准备工作启动
3.腾讯会议中化信息内部立项和报价
4.公司网络网络专线优化调整方案
5.SAP HANA测试环境服务器准备</t>
  </si>
  <si>
    <t>1.蔚蓝行动2025前期准备工作启动,根据集团邮件通知,5月初将开始由外部攻击队组织的内部攻防演练,演练标准参照正式演习同步进行
2.邮件系统切换准备工作启动,根据集团统一规划,启动邮件系统切换准备工作,本周需要完成非HR系统人员邮件账号信息梳理工作,需要各单位全力配合
3.腾讯会议中化信息内部立项和报价,预计5月底前开通腾讯企业账号
4.公司网络网络专线优化调整方案,和关总完成汇报,准备网络优化立项报告
5.SAP HANA测试环境服务器准备,完成中化信息HANA服务器和基础设施服务合同签署</t>
  </si>
  <si>
    <t xml:space="preserve">1.腾讯会议：目前在采购申请流程中，通过与中化信息签署工作确认单来采购腾讯会议许可，许可数量10个，预计金额13万元
2.闲置资产：已完成中化国际与扬州锂电电脑租赁框架合同双签，扬农瑞恒已启用租赁流程。截止目前共租赁了24台设备：前期已有骏盛、共享财务单独跟扬州锂电签署了租赁框架了，骏盛租赁了11台，共享财务租赁了10台，中化国际租赁了1台，此次中化国际与扬州锂电签署完框架后，扬农瑞恒租赁了2台
3.5G网络：瑞恒已完成，瑞泰本月完成室外宏站的安装，目前在等开卡测试，正在准备走开卡流程
4.资产交割：目前已经完成集团层面的审批流程，正在公式中
</t>
  </si>
  <si>
    <t>SAP HR服务器搬迁情况描述</t>
  </si>
  <si>
    <t>SAP HR服务器搬迁</t>
  </si>
  <si>
    <t xml:space="preserve">
资产租赁：已完成中化国际与扬州锂电电脑租赁框架合同双签，扬农瑞恒已启用租赁流程</t>
  </si>
  <si>
    <t>2.闲置资产：已完成中化国际与扬州锂电电脑租赁框架合同双签，扬农瑞恒已启用租赁流程。截止目前共租赁了24台设备：前期已有骏盛、共享财务单独跟扬州锂电签署了租赁框架了，骏盛租赁了11台，共享财务租赁了10台，中化国际租赁了1台，此次中化国际与扬州锂电签署完框架后，扬农瑞恒租赁了2台</t>
  </si>
  <si>
    <t>1.腾讯会议取消采购
2.闲置资产：截止目前，资产租赁情况如下，共计租赁资产21台：
淮安骏盛目前仍在租赁电脑为6台（淮安骏盛清退工作还在持续中，预计7月份退回剩余6台）
共享财务租赁电脑12台（共享财务单独与扬州锂电签署的框架协议）
中化国际租赁电脑1台、江苏瑞恒租赁电脑2台（中化国际与扬州锂电签署的框架协议）</t>
  </si>
  <si>
    <t>截止目前，资产租赁情况如下，共计租赁资产33台：
淮安骏盛目前仍在租赁电脑为6台（淮安骏盛清退工作还在持续中，预计7月份退回剩余6台）
共享财务租赁电脑18台
中化国际租赁电脑1台
江苏瑞恒租赁电脑8台</t>
  </si>
  <si>
    <t xml:space="preserve">1、资产交割的合同已完成初稿，中化国际法律部已审核，上周已发给中国中化确认
2、资产租赁情况如下，共计租赁资产51台：
淮安骏盛目前仍在租赁电脑为7台（淮安骏盛清退工作还在持续中，预计7月份退回剩余7台）
共享财务租赁电脑18台
中化国际租赁电脑1台
中化科技租赁电脑8台
江苏瑞恒租赁电脑8台
扬农集团租赁电脑9台
</t>
  </si>
  <si>
    <t>1、资产交割合同进展暂无进度，在等中国中化回复
2、资产租赁情况如下，共计租赁资产54台：
淮安骏盛租赁电脑7台（淮安骏盛清退工作还在持续中，原定7月退还，暂未退还，陶荣正在确认中）
共享财务租赁电脑18台
中化国际租赁电脑4台
中化科技租赁电脑8台
江苏瑞恒租赁电脑8台
扬农集团租赁电脑9台
3、上周去瑞祥做了工控和网络调研，发现了很多问题，本周会去瑞恒做同样的工作
包括机房设备问题（设备不在现有拓扑范围内），重要设备拓扑缺失（部分设备不经过网闸，与拓扑图不一致），系统缺少运维（日志满了没人清理），安全配置无效（点对点全开）等问题</t>
  </si>
  <si>
    <r>
      <t xml:space="preserve">资产租赁情况:
截止目前，共计租赁资产54台：
</t>
    </r>
    <r>
      <rPr>
        <b/>
        <sz val="11"/>
        <color rgb="FF000000"/>
        <rFont val="等线"/>
        <family val="3"/>
        <charset val="134"/>
      </rPr>
      <t>淮安骏盛租赁电脑7台（淮安骏盛清退工作还在持续中，经沟通,已确认于8.30日前退还）</t>
    </r>
    <r>
      <rPr>
        <sz val="11"/>
        <color theme="1"/>
        <rFont val="等线"/>
        <family val="2"/>
        <scheme val="minor"/>
      </rPr>
      <t xml:space="preserve">
共享财务租赁电脑18台
中化国际租赁电脑4台
中化科技租赁电脑8台
江苏瑞恒租赁电脑8台
扬农集团租赁电脑9台</t>
    </r>
  </si>
  <si>
    <t>资产租赁：骏盛电脑将于本周归还
信创网站：先做中化国际总部的，下面单位暂时没有预算，方案还在沟通中</t>
  </si>
  <si>
    <r>
      <t xml:space="preserve">截止目前，资产租赁情况如下，共计租赁资产54台：
</t>
    </r>
    <r>
      <rPr>
        <b/>
        <sz val="11"/>
        <color rgb="FF000000"/>
        <rFont val="等线"/>
        <family val="3"/>
        <charset val="134"/>
      </rPr>
      <t>淮安骏盛已于上周归还所有电脑</t>
    </r>
    <r>
      <rPr>
        <sz val="11"/>
        <color theme="1"/>
        <rFont val="等线"/>
        <family val="2"/>
        <scheme val="minor"/>
      </rPr>
      <t xml:space="preserve">
共享财务租赁电脑18台
中化国际租赁电脑4台
中化科技租赁电脑12台
江苏瑞恒租赁电脑8台
扬农集团租赁电脑12台
SAP服务器迁移：已提供报价，待确认</t>
    </r>
  </si>
  <si>
    <t xml:space="preserve">截止上周五，资产租赁情况如下：
共享财务租赁电脑18台
瑞恒新材料租赁电脑8台
扬农集团租赁电脑13台
中化国际租赁电脑5台
中化科技租赁电脑12台
共计租赁资产56台
线路退费情况：
云联网线路，中化国际停用日期：2025.9.30，总计退款：约20.7万元（中化信息退款）
电信1根专线：中化国际停用日期：2025.9.13，总计退款：约45.8万元（运营商退款）
联通2根专线：中化国际停用日期：2025.8.31，总计退款：约22.4万元（运营商退款）
</t>
  </si>
  <si>
    <t>截止上周五，资产租赁情况如下：
共享财务租赁电脑18台
瑞恒新材料租赁电脑8台
扬农集团租赁电脑13台
中化国际租赁电脑5台
中化科技租赁电脑12台
共计租赁资产56台
规章制度AI知识问答模块已经满足在化小易上上线的条件，新闻稿已经准备好，在数字化之窗发布时间待确认</t>
  </si>
  <si>
    <t>资产租赁情况无变化</t>
  </si>
  <si>
    <t xml:space="preserve">资产租赁暂无变化
共享财务租赁电脑18台
瑞恒新材料租赁电脑8台
扬农集团租赁电脑13台
中化国际租赁电脑5台
中化科技租赁电脑12台
共计租赁资产56台
扬农集团和南通星辰的桌面标准化实施已完成后，工单跟踪：目前两家单位的IT人员已经开始使用化工事业部工单系统，自验收以来，南通星辰所有系统工单93单，桌面运维20单；扬农集团所有系统工单161单，桌面运维43单。
已完成信创网站的系统实施，网站的变更说明书已发送给办公室相关人员，待完成实施后变更正式域名，预计完成时间10月31日。
</t>
  </si>
  <si>
    <t>资产租赁暂无变化
共享财务租赁电脑18台
瑞恒新材料租赁电脑8台
扬农集团租赁电脑13台
中化国际租赁电脑5台
中化科技租赁电脑12台
共计租赁资产56台</t>
  </si>
  <si>
    <t>资产租赁暂无变化
共享财务租赁电脑18台
瑞恒新材料租赁电脑8台
扬农集团租赁电脑13台
中化国际租赁电脑5台
中化科技租赁电脑12台
共计租赁资产56台
正版化报告和软件清单已完成，线上签署工作未完成，上周五已邮件再次通知各单位，本周每天汇报一次进度</t>
  </si>
  <si>
    <t>1、资产租赁暂无变化，11月新增9台信创电脑采购，中化塑料5台，成都新材料1台，国际总部3台
2、南通星辰供应商印章系统问题已解决
3、AI审计助手，审计部需要重新考虑需求，确认完后再汇报，目前不一定开展
4、扬农和南通运维工作统计，目前是只有他们的IT人员会在工单系统里开工单，自己直接能解决的问题不在开工单，管理策略上需要再讨论
5、联通2根专线已完成退款，退款金额21.6万元；电信专线1月份退款</t>
  </si>
  <si>
    <t>AI项目</t>
  </si>
  <si>
    <t>顾涛</t>
  </si>
  <si>
    <t>10月20日周会更新系统应用成果</t>
  </si>
  <si>
    <t>一、项目总体进展
（一）核心成果
1. 《AI能力建设项目立项报告》初稿已完成，涵盖需求分析、技术方案及实施规划。
2. 框架合同附件《场景描述》初稿编制完成。
（二）关键要素
预算概况：项目整体预估费用38万元（毛估，不含智能会议助手模块）
实施周期：2-3个月
二、模块分项进展
1.规章制度智能问答模块
费用及周期：预估费用8万元，预估实施周期1.5至2个月
2.运维知识问答模块
费用及周期：预估费用总计15万元（工单系统对接费用+智能体搭建），实施周期1.5至2个月
3.智能会议预定模块
费用及周期：预估费用15万元（OA系统对接费用+智能体搭建），实施周期2个月</t>
  </si>
  <si>
    <t xml:space="preserve">
上周主要是针对新的5篇规章制度进行的POC验证，明确了AI智能规章制度问答对应学习时间及应用的可行性，测试人张乐敏，已通过验证。
从签约到落地推广预计总工期为2.5个月，具体如下：
签约-确定合作意向，完成合同签署
项目部署30天完成知识库内容收集与搭建
UAT测试15天选定UAT测试对象并协助完成测试，验证系统功能可用性，记录相关测试问题，并及时解决 
项目试点15天选定试点范围并完成测试，优化系统实际适配性
推广培训15天配合完成推广与培训，推动系统全面落地应用
</t>
  </si>
  <si>
    <t>关于化工事业部智能问答当前进展如下：
1. 已完成在中化AI平台的生产环境搭建的化工事业部智能问答智能体应用;
2. 各规章制度共计 357 篇，其中扫描影印件约122篇，已完成全部文档的上传和解析工作;
3. 本周将进行UAT测试，将由中化信息牵头，与张乐敏等老师针对内容进行逐一测试，记录相关问题进行修正，测试周期预计3周;
4. 预计整体上线时间点在8月底9月初，届时可进行试点相关工作。</t>
  </si>
  <si>
    <t>1. 完成在中化AI平台的生产环境搭建的化工事业部智能问答智能体应用;
2.本周将进行UAT测试，记录相关问题进行修正，测试周期预计3周;
3. 预计整体上线时间点在8月底9月初</t>
  </si>
  <si>
    <t>目前正在UAT阶段，用户张乐敏正在安排人员测试，暂无实质性进展</t>
  </si>
  <si>
    <t>1. 已完成在中化AI平台的生产环境搭建的化工事业部智能问答智能体应用;
2. 各规章制度共计 357 篇，其中扫描影印件约122篇，已完成全部文档的上传和解析工作;
3. 本周将进行UAT测试，与中化国际张乐敏针对内容进行逐一测试，记录相关问题进行修正，测试周期预计3周;</t>
  </si>
  <si>
    <t>召开了AI用户交流会，给用户展示了规则制度的问答效果</t>
  </si>
  <si>
    <t>跟踪化工事业部规章制度智能体使用情况统计：信息之窗文章阅读110人次，新闻稿阅读60人次，总覆盖人数少，推测多数事业部员工不知智能体存在
1.整体使用规模：化工事业部及下属单位共计29人使用，累计咨询66个问题；
2.使用人员中分布：财务部占比最高（50%），其次为运营管理部（27.7%）、战略发展部（16%），科创中心仅1人使用（5.5%）；
3.回答满意度与匹配问题：累计统计66个咨询问题，81%（54个）为用户认可的高质量回答，19%（12个）系统无法回答；无法回答的核心原因是下属单位专属规章（如年假细则、副高级职称待遇），超出事业部智能体现有知识范围。</t>
  </si>
  <si>
    <t>扬州科创中心和泰兴基地弱电智能化方案</t>
  </si>
  <si>
    <t>陶云飞</t>
  </si>
  <si>
    <t>抓紧补充计划及沟通难点，跟踪反馈结果</t>
  </si>
  <si>
    <t>1.把设计院对中化康源相关设计，提交集团海康和大华集采供应商，获得相关方案和报价
2.网络和安全设备，比配集团华为集采型号设备和深信服相关报价。</t>
  </si>
  <si>
    <t>1.跟踪科创中心设计情况，配合确定弱电方案
2.泰兴基地方案讨论</t>
  </si>
  <si>
    <t>1.科创中心设计方案定稿
2.泰兴基地启动详细设计方案</t>
  </si>
  <si>
    <t>1.科创中心设计方案定稿</t>
  </si>
  <si>
    <t>1..科创中心设计方案定稿</t>
  </si>
  <si>
    <t>1.科创中心方案提交中化商务招标</t>
  </si>
  <si>
    <t>等待科创中心招标结果后，确定方案</t>
  </si>
  <si>
    <t>泰州基地和科创中心弱电都已经招标，相关修改内容已经告知，等待实施时候再配合供应商和当地IT进行配置和支持</t>
  </si>
  <si>
    <t>1.获得大华和海康相关方案和报价，比对泰兴基地弱电设计院方案，对比集团集采型号报价和深信服相关报价完成实施价格估算。
2.去南京参加扬州科创中心东大设计院会议，讨论弱电实施方案。</t>
  </si>
  <si>
    <t>科创中心设计方案中数据中心规划重新调整，其他无进展。</t>
  </si>
  <si>
    <t>1.科创中心暂无进展，正调整实验室智能化内容
2.泰兴基地云联网线路接入完成</t>
  </si>
  <si>
    <t>科创中心暂无变化，泰兴基地工程部5.15已经启动招标，包括弱电和IT其他内容，未通知我们确定集采和弱电方案等内容</t>
  </si>
  <si>
    <t>1.扬州科创中心：目前仍处于设计阶段，已经书面提交工程建设项目管理计划书评审意见表，提出设备方面需要按集团集采通知要求，从集采清单中选择符合要求的IT设备和工控系统，向中化信息采购。
2.泰兴基地：6.10 已经出招标公告，相关具体的弱电类设备和施工等招标价格项目组田丰说不能提供，如果需要，得向付总申请。</t>
  </si>
  <si>
    <t xml:space="preserve">扬州科创中心他们已经提交采购方案给中化商务，扬农这面说是因为保密关系，不能提供我们电子版本采购内容，下周准备去当地查看采购内容，是否符合化工事业部和集团的要求，比如网络，监控等弱电内容。
泰兴基地5月已经招标完了，7月看了采购内容，提了6个意见，希望新增汇聚交换机，无线ap更换为深信服，确认监控时间和对接情况，希望能够采纳
</t>
  </si>
  <si>
    <t>1.科创中心方案已经提交中化商务招标，出差扬州，查看弱电建设方案，邮件提出2点意见，主要包括无线AP和服务器交换机内容。</t>
  </si>
  <si>
    <t>1.泰兴基地已经完成招标，无线已经按要求和供应商协商使用化工事业部标准型号，HSE监控弱电需求满足，其余需要实施的网络方案由于预算原因，等待工厂开工后再进行采购部署；
2.扬农科创中心，无线预计采用采购华为设备，实施方案按照集团要求，供应商需要满足定制开发内容，其余内容符合相关需求，数据机房内容等待建设后单独确认网络和服务器更新方案，目前先满足现有设备搬迁。
在建设完成实施网络配置时候，我方网络和服务器运维人将配合供应商进行实施，此项目可以先结束。</t>
  </si>
  <si>
    <t>1.泰兴基地已经完成招标，无线已经按要求和供应商协商使用化工事业部标准型号，HSE监控弱电需求满足，其余需要实施的网络方案由于预算原因，等待工厂开工后再进行采购部署；
2.扬农科创中心已经完成招标，与供应商协商无线采用华为设备，实施方案按照集团要求，满足定制开发内容，其余内容符合相关需求，数据机房内容等待建设后单独确认网络和服务器更新方案，目前先满足现有设备搬迁。
在建设完成实施网络配置的时候，我方网络和服务器运维人将配合供应商进行实施，按实际情况进行调整，此项目可以先结束，不再对方案进行调整。</t>
  </si>
  <si>
    <t>蔚蓝行动2025</t>
  </si>
  <si>
    <t>黄亮</t>
  </si>
  <si>
    <t>建议不作为靶标单位</t>
  </si>
  <si>
    <t>前往靶标单位（安徽圣奥）实地检查</t>
  </si>
  <si>
    <t>本周梳理了化工事业部开展内部攻防成果，共发现6家单位（中化国际、中化塑料、宁夏锂电、扬农化工集团、南通星辰、扬州锂电）系统存在漏洞，其中从攻击队资源中成功获取中化国际联想网盘0day漏洞防护方法，并在内网环境中发现域证书服务器存在证书配置漏洞，影响中化国际域控安全包括域内2595台主机。以及其他弱密码及中高危漏洞29个。本周开始通知各单位开始修复漏洞</t>
  </si>
  <si>
    <t>已完成现场检查</t>
  </si>
  <si>
    <t>中间体5G网络建设</t>
  </si>
  <si>
    <t>保障瑞恒EAM正常上线</t>
  </si>
  <si>
    <t>1、扬农总部无线网络方案沟通和确认，准备设备采购方案和清单。
2、瑞泰5G准备合同和单一来源采购申请，连云港瑞恒5G反馈室内不太急，准备现有合同变更。
3、完成扬农总部网络改造方案审批，准备机房迁移和改造方案</t>
  </si>
  <si>
    <t xml:space="preserve">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
</t>
  </si>
  <si>
    <t xml:space="preserve">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
</t>
  </si>
  <si>
    <t>1、收集瑞恒5G防爆手机终端数量，完成5G卡的正式发放（完成)
2、完成瑞恒的现有网络改造和中化国际与连云港电信的5G合同签署（瑞恒原合同终止)完成
3、瑞泰5G网络完成合同签署，完成项目实施
4、完成瑞祥5G网络供应商对存在问题的IP地址进行修改满足交付要求
5、评估5G网络接入安全风险，对部分5G方案进行安全加固（瑞恒、瑞祥）</t>
  </si>
  <si>
    <t>1.目前在等待开卡测试，在准备走开卡流程</t>
  </si>
  <si>
    <t>已完成</t>
  </si>
  <si>
    <t>1、扬农总部无线网络方案沟通和确认，准备设备采购方案和清单。（未完成）
2、瑞泰5G准备合同和单一来源采购申请（完成），瑞恒准备现有网络合同变更。（未完成，等待新线路开通）
3、完成扬农总部网络改造方案审批，准备机房迁移和改造方案（未完成）
4、瑞祥5G网络落地后发现IP地址存在冲突，需要对冲突地址进行修正。</t>
  </si>
  <si>
    <t>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t>
  </si>
  <si>
    <t>瑞恒已完成
宁夏瑞泰5G定制项目进度：
1.室外宏站完成安装
2.UPF已完成安装、加电测试和设备初始化已经完成
3.目前在等待开卡测试，在准备走开卡流程</t>
  </si>
  <si>
    <t>视频AI应用推广</t>
  </si>
  <si>
    <t>董俊/陶云飞</t>
  </si>
  <si>
    <t>03-实施</t>
  </si>
  <si>
    <t>1.中化釜鼎，中化滏恒，中化鑫宝，扬农瑞祥，山东圣奥，泰安圣奥，完成对接和算法优化
2.安徽圣奥，扬农锦湖，南通星辰和中化高纤启动对接</t>
  </si>
  <si>
    <t>1、中化高纤，扬农锦湖和安徽圣奥，完成AI对接
2、各对接系统完成调优，与集团AI平台上传稳定正常，春节之前完成</t>
  </si>
  <si>
    <t>各地对接全部完成，各地视频AI持续优化中，有新建工厂可以推广使用事业部统建系统，不再跟踪。</t>
  </si>
  <si>
    <t>1.中化釜鼎，中化滏恒，中化鑫宝，扬农瑞祥，山东圣奥，泰安圣奥，南通星辰, 完成对接.
2.安徽圣奥，扬农锦湖和中化高纤启动对接,预计一月完成全部对接
3.事业部与集团对接完成。</t>
  </si>
  <si>
    <t>1、中化高纤对接完成，调优中
2、安徽圣奥和扬农锦湖实施中</t>
  </si>
  <si>
    <t>第二周（12/9-12/13)</t>
  </si>
  <si>
    <t>第二周（1/6-1/12）</t>
  </si>
  <si>
    <t>第三周（1/13-1/19）</t>
  </si>
  <si>
    <t xml:space="preserve">第二周（8/11-8/15）
</t>
  </si>
  <si>
    <t xml:space="preserve">第三周（10/20-10/24）
</t>
  </si>
  <si>
    <t>产业链CRM一期&amp;二期（含物流）</t>
  </si>
  <si>
    <t>张敏</t>
  </si>
  <si>
    <t>补充AI的情况</t>
  </si>
  <si>
    <t xml:space="preserve">1.环氧产业链二期功能开发、用户UAT测试以及瑞恒锦湖上线试运行支持
2.工塑产业链二期功能开发以及用户UAT测试
3.中化高纤上线支持
4.淮化上线切换
5.中化河北功能实施
6.中间体功能实施
</t>
  </si>
  <si>
    <t xml:space="preserve">1.环氧产业链二期功能开发、CRM全面用户UAT测试培训以及瑞恒锦湖上线试运行支持
2.工塑产业链二期功能开发以及CRM全面用户UAT测试
3.中化高纤上线支持
4.淮化上线支持
5.中化河北功能实施
6.中间体项目由于涉及几个外围系统集成（卓创资讯、电商等），目前项目停滞，待合同签署
</t>
  </si>
  <si>
    <t xml:space="preserve">1.环氧产业链二期功能开发、CRM全面用户UAT测试培训以及瑞恒锦湖上线试运行支持、上线切换策略宣贯
2.工塑产业链二期功能开发以及CRM全面用户UAT测试以及上线切换策略宣贯
3.中化高纤上线支持
4.淮化上线支持
5.中化河北一期功能上线支持，二期部分功能实施
6.完成中间体项目合同签署
</t>
  </si>
  <si>
    <t xml:space="preserve">1.环氧产业链二期功能开发、瑞恒锦湖上线试运行支持、南通星上线准备
2.工塑产业链二期功能开发以及上线前培训、上线准备
3.中化高纤上线支持
4.淮化上线支持
5.中化河北一期功能上线支持，二期部分功能实施
6.完成中间体项目合同签署
</t>
  </si>
  <si>
    <t xml:space="preserve">1.环氧产业链二期功能开发、数据补录，上线切换
2.工塑产业链二期功能开发、数据补录，上线切换
3.中化高纤上线支持
4.淮化上线支持
5.中化河北一期功能上线支持
6.完成中间体项目合同签署，系统功能建设（销售合同对接）
7.预计1月中旬，进行添加剂事业部CRM需求调研，梳理初步方案
8.预计1月中旬，进行CRM等保定级相关事项
</t>
  </si>
  <si>
    <t xml:space="preserve">1.环氧产业链二期数据补录，上线切换、剩余功能开发(与化数仓开票、回款数据集成）
2.工塑产业链二期数据补录，上线切换、剩余功能开发(与化数仓开票、回款数据集成）
3.中化高纤上线支持
4.淮化上线支持
5.中化河北一期功能上线支持
6.完成中间体项目合同签署，系统功能建设（销售合同对接）
7.预计1月中旬，进行添加剂事业部CRM需求调研，梳理初步方案
8.预计1月中旬，进行CRM等保定级相关事项
</t>
  </si>
  <si>
    <t xml:space="preserve">1.环氧产业链结合博科ERP进行完成南通12月31号前业务数据推送、瑞恒、锦湖上线试运行支持
2.工塑产业链结合博科ERP进行完成南通12月31号前业务数据推送、轻量化、瑞泰上线试运行（完成轻量化CRM-OA-CDS授信接口的联调测试）
3.中化高纤上线支持
4.淮化上线支持
5.中化河北一期功能上线支持
6.完成中间体项目合同签署
7.南通星辰CRM物流功能优化项目上线试运行
8.预计1月22号，进行添加剂事业部CRM需求调研，梳理初步方案
9.预计1月中旬，进行CRM等保定级相关事项
</t>
  </si>
  <si>
    <t xml:space="preserve">1.环氧产业链上线试运行支持
2.工塑产业链上线试运行（完成轻量化CRM-OA-CDS授信接口上线）
3.中化高纤上线支持
4.淮化上线支持
5.中化河北一期功能上线支持
6.南通星辰CRM物流功能优化项目上线试运行以及形成月结期间无外向交货单发货承运线上流转初步方案
7.与营销管理部张浩沟通2025年CRM项目工作安排
8.预计年后，进行添加剂事业部CRM需求调研，梳理初步方案
9.预计年后，进行CRM等保定级相关事项
</t>
  </si>
  <si>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5.中化河北完成一期功能上线试运行支持</t>
    </r>
    <r>
      <rPr>
        <sz val="11"/>
        <color rgb="FF000000"/>
        <rFont val="等线"/>
        <family val="2"/>
      </rPr>
      <t xml:space="preserve">
</t>
    </r>
    <r>
      <rPr>
        <sz val="10"/>
        <color rgb="FF2F5597"/>
        <rFont val="等线"/>
        <family val="2"/>
      </rPr>
      <t>6.南通星辰CRM物流功能优化项目上线试运行支持</t>
    </r>
    <r>
      <rPr>
        <sz val="11"/>
        <color rgb="FF000000"/>
        <rFont val="等线"/>
        <family val="2"/>
      </rPr>
      <t xml:space="preserve">
</t>
    </r>
    <r>
      <rPr>
        <sz val="10"/>
        <color rgb="FF2F5597"/>
        <rFont val="等线"/>
        <family val="2"/>
      </rPr>
      <t>7.准备系统上线安全材料</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</si>
  <si>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5.中化河北完成一期功能上线试运行支持</t>
    </r>
    <r>
      <rPr>
        <sz val="11"/>
        <color rgb="FF000000"/>
        <rFont val="等线"/>
        <family val="2"/>
      </rPr>
      <t xml:space="preserve">
</t>
    </r>
    <r>
      <rPr>
        <sz val="10"/>
        <color rgb="FF2F5597"/>
        <rFont val="等线"/>
        <family val="2"/>
      </rPr>
      <t>6.南通星辰CRM物流功能优化项目上线试运行支持（1.月结期间，无库存的销售业务需发运业务场景初步方案沟通2.销售删单特殊业务场景发运任务如何处理</t>
    </r>
    <r>
      <rPr>
        <sz val="11"/>
        <color rgb="FF000000"/>
        <rFont val="等线"/>
        <family val="2"/>
      </rPr>
      <t xml:space="preserve">
</t>
    </r>
    <r>
      <rPr>
        <sz val="10"/>
        <color rgb="FF2F5597"/>
        <rFont val="等线"/>
        <family val="2"/>
      </rPr>
      <t>7.域名切换方案沟通</t>
    </r>
    <r>
      <rPr>
        <sz val="11"/>
        <color rgb="FF000000"/>
        <rFont val="等线"/>
        <family val="2"/>
      </rPr>
      <t xml:space="preserve">
</t>
    </r>
    <r>
      <rPr>
        <sz val="10"/>
        <color rgb="FF2F5597"/>
        <rFont val="等线"/>
        <family val="2"/>
      </rPr>
      <t>8.拟赴圣奥进行CRM调研，预计周三周四，具体时间待张浩总确定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</si>
  <si>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6.中间体：销售合同对接开发，周报表  日报表需求评估</t>
    </r>
    <r>
      <rPr>
        <sz val="11"/>
        <color rgb="FF000000"/>
        <rFont val="等线"/>
        <family val="2"/>
      </rPr>
      <t xml:space="preserve">
</t>
    </r>
    <r>
      <rPr>
        <sz val="10"/>
        <color rgb="FF2F5597"/>
        <rFont val="等线"/>
        <family val="2"/>
      </rPr>
      <t>7.南通星辰CRM物流功能优化项目上线试运行支持（1.月结期间，无库存的销售业务需发运业务场景初步方案沟通2.销售删单特殊业务场景发运任务处理方案细化沟通</t>
    </r>
    <r>
      <rPr>
        <sz val="11"/>
        <color rgb="FF000000"/>
        <rFont val="等线"/>
        <family val="2"/>
      </rPr>
      <t xml:space="preserve">
</t>
    </r>
    <r>
      <rPr>
        <sz val="10"/>
        <color rgb="FF2F5597"/>
        <rFont val="等线"/>
        <family val="2"/>
      </rPr>
      <t>8.域名切换方案沟通</t>
    </r>
    <r>
      <rPr>
        <sz val="11"/>
        <color rgb="FF000000"/>
        <rFont val="等线"/>
        <family val="2"/>
      </rPr>
      <t xml:space="preserve">
</t>
    </r>
    <r>
      <rPr>
        <sz val="10"/>
        <color rgb="FF2F5597"/>
        <rFont val="等线"/>
        <family val="2"/>
      </rPr>
      <t>9.圣奥CRM需求梳理（疑问需求专题沟通）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</si>
  <si>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6.中间体系统功能搭建：销售合同接口;库存对接库位方案沟通;日报、周报表系统表单建设</t>
    </r>
    <r>
      <rPr>
        <sz val="11"/>
        <color rgb="FF000000"/>
        <rFont val="等线"/>
        <family val="2"/>
      </rPr>
      <t xml:space="preserve">
</t>
    </r>
    <r>
      <rPr>
        <sz val="10"/>
        <color rgb="FF2F5597"/>
        <rFont val="等线"/>
        <family val="2"/>
      </rPr>
      <t>7.南通星辰CRM物流功能优化项目上线试运行支持</t>
    </r>
    <r>
      <rPr>
        <sz val="11"/>
        <color rgb="FF000000"/>
        <rFont val="等线"/>
        <family val="2"/>
      </rPr>
      <t xml:space="preserve">
</t>
    </r>
    <r>
      <rPr>
        <sz val="10"/>
        <color rgb="FF2F5597"/>
        <rFont val="等线"/>
        <family val="2"/>
      </rPr>
      <t>8.圣奥CRM需求梳理</t>
    </r>
    <r>
      <rPr>
        <sz val="11"/>
        <color rgb="FF000000"/>
        <rFont val="等线"/>
        <family val="2"/>
      </rPr>
      <t xml:space="preserve">
</t>
    </r>
    <r>
      <rPr>
        <sz val="10"/>
        <color rgb="FF2F5597"/>
        <rFont val="等线"/>
        <family val="2"/>
      </rPr>
      <t>9.化工事业部1立项材料准备</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</si>
  <si>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6.中间体系统功能搭建：销售合同接口;库存对接库位方案沟通;日报、周报表系统表单建设</t>
    </r>
    <r>
      <rPr>
        <sz val="11"/>
        <color rgb="FF000000"/>
        <rFont val="等线"/>
        <family val="2"/>
      </rPr>
      <t xml:space="preserve">
</t>
    </r>
    <r>
      <rPr>
        <sz val="10"/>
        <color rgb="FF2F5597"/>
        <rFont val="等线"/>
        <family val="2"/>
      </rPr>
      <t>7.南通星辰CRM物流功能优化项目上线试运行支持(线上手工单功能开发、业务冲销功能开发)</t>
    </r>
    <r>
      <rPr>
        <sz val="11"/>
        <color rgb="FF000000"/>
        <rFont val="等线"/>
        <family val="2"/>
      </rPr>
      <t xml:space="preserve">
</t>
    </r>
    <r>
      <rPr>
        <sz val="10"/>
        <color rgb="FF2F5597"/>
        <rFont val="等线"/>
        <family val="2"/>
      </rPr>
      <t>8.圣奥CRM需求方案内部沟通</t>
    </r>
    <r>
      <rPr>
        <sz val="11"/>
        <color rgb="FF000000"/>
        <rFont val="等线"/>
        <family val="2"/>
      </rPr>
      <t xml:space="preserve">
</t>
    </r>
    <r>
      <rPr>
        <sz val="10"/>
        <color rgb="FF2F5597"/>
        <rFont val="等线"/>
        <family val="2"/>
      </rPr>
      <t>9.提交化工事业部1立项材料</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</si>
  <si>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6.中间体系统功能搭建（待办扬农OA接口集成建设。MDM接口集成暂停，等待MDM资源。）</t>
    </r>
    <r>
      <rPr>
        <sz val="11"/>
        <color rgb="FF000000"/>
        <rFont val="等线"/>
        <family val="2"/>
      </rPr>
      <t xml:space="preserve">
</t>
    </r>
    <r>
      <rPr>
        <sz val="10"/>
        <color rgb="FF2F5597"/>
        <rFont val="等线"/>
        <family val="2"/>
      </rPr>
      <t>7.南通星辰CRM物流功能优化项目上线试运行支持(线上手工单功能开发、业务冲销功能开发)</t>
    </r>
    <r>
      <rPr>
        <sz val="11"/>
        <color rgb="FF000000"/>
        <rFont val="等线"/>
        <family val="2"/>
      </rPr>
      <t xml:space="preserve">
</t>
    </r>
    <r>
      <rPr>
        <sz val="10"/>
        <color rgb="FF2F5597"/>
        <rFont val="等线"/>
        <family val="2"/>
      </rPr>
      <t>8.圣奥CRM系统管理员程鹏沟通确认系统集成情况。</t>
    </r>
    <r>
      <rPr>
        <sz val="11"/>
        <color rgb="FF000000"/>
        <rFont val="等线"/>
        <family val="2"/>
      </rPr>
      <t xml:space="preserve">
</t>
    </r>
    <r>
      <rPr>
        <sz val="10"/>
        <color rgb="FF2F5597"/>
        <rFont val="等线"/>
        <family val="2"/>
      </rPr>
      <t>9.提交化工事业部1立项材料</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</si>
  <si>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6.中间体系统功能搭建（MDM接口集成暂停，等待MDM资源。）</t>
    </r>
    <r>
      <rPr>
        <sz val="11"/>
        <color rgb="FF000000"/>
        <rFont val="等线"/>
        <family val="2"/>
      </rPr>
      <t xml:space="preserve">
</t>
    </r>
    <r>
      <rPr>
        <sz val="10"/>
        <color rgb="FF2F5597"/>
        <rFont val="等线"/>
        <family val="2"/>
      </rPr>
      <t>7.南通星辰CRM物流功能优化项目上线试运行支持(完成线上手工单功能UAT测试、业务冲销功能开发)</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8.与圣奥供应链总监杨海云进行需求沟通</t>
    </r>
    <r>
      <rPr>
        <sz val="11"/>
        <color rgb="FF000000"/>
        <rFont val="等线"/>
        <family val="2"/>
      </rPr>
      <t xml:space="preserve">
</t>
    </r>
    <r>
      <rPr>
        <sz val="10"/>
        <color rgb="FF2F5597"/>
        <rFont val="等线"/>
        <family val="2"/>
      </rPr>
      <t>9.化工事业部“1”立项</t>
    </r>
    <r>
      <rPr>
        <sz val="11"/>
        <color rgb="FF000000"/>
        <rFont val="等线"/>
        <family val="2"/>
      </rPr>
      <t xml:space="preserve">
</t>
    </r>
    <r>
      <rPr>
        <sz val="10"/>
        <color rgb="FF2F5597"/>
        <rFont val="等线"/>
        <family val="2"/>
      </rPr>
      <t>10.2025年中化高纤二期需求：与OA，业务三方方案沟通</t>
    </r>
    <r>
      <rPr>
        <sz val="11"/>
        <color rgb="FF000000"/>
        <rFont val="等线"/>
        <family val="2"/>
      </rPr>
      <t xml:space="preserve">
</t>
    </r>
    <r>
      <rPr>
        <sz val="10"/>
        <color rgb="FF2F5597"/>
        <rFont val="等线"/>
        <family val="2"/>
      </rPr>
      <t>11.2025年环氧树脂事业部瑞恒物流运费管理方案与扬农物流一卡通沟通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</si>
  <si>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7.南通星辰CRM物流功能优化项目上线试运行支持(业务冲销功能开发)</t>
    </r>
    <r>
      <rPr>
        <sz val="11"/>
        <color rgb="FF000000"/>
        <rFont val="等线"/>
        <family val="2"/>
      </rPr>
      <t xml:space="preserve">
</t>
    </r>
    <r>
      <rPr>
        <sz val="10"/>
        <color rgb="FF2F5597"/>
        <rFont val="等线"/>
        <family val="2"/>
      </rPr>
      <t>8.上线安全检查申请（已与黄亮沟通，总费用3万元）</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8.完成高纤的二期需求评估（含外围系统）</t>
    </r>
    <r>
      <rPr>
        <sz val="11"/>
        <color rgb="FF000000"/>
        <rFont val="等线"/>
        <family val="2"/>
      </rPr>
      <t xml:space="preserve">
</t>
    </r>
    <r>
      <rPr>
        <sz val="10"/>
        <color rgb="FF2F5597"/>
        <rFont val="等线"/>
        <family val="2"/>
      </rPr>
      <t>9.完成中间体的三期需求评估（含外围系统）</t>
    </r>
    <r>
      <rPr>
        <sz val="11"/>
        <color rgb="FF000000"/>
        <rFont val="等线"/>
        <family val="2"/>
      </rPr>
      <t xml:space="preserve">
</t>
    </r>
    <r>
      <rPr>
        <sz val="10"/>
        <color rgb="FF2F5597"/>
        <rFont val="等线"/>
        <family val="2"/>
      </rPr>
      <t>10.明确环氧树脂事业部CRM优化范围以及瑞恒物流运费管理方案与扬农物流一卡通沟通</t>
    </r>
    <r>
      <rPr>
        <sz val="11"/>
        <color rgb="FF000000"/>
        <rFont val="等线"/>
        <family val="2"/>
      </rPr>
      <t xml:space="preserve">
</t>
    </r>
    <r>
      <rPr>
        <sz val="10"/>
        <color rgb="FF2F5597"/>
        <rFont val="等线"/>
        <family val="2"/>
      </rPr>
      <t>11.2025年CRM优化项目立项材料准备</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</si>
  <si>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7.南通星辰CRM物流功能优化项目上线试运行支持(业务冲销功能测试)</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8.进行中化河北二期需求评估</t>
    </r>
    <r>
      <rPr>
        <sz val="11"/>
        <color rgb="FF000000"/>
        <rFont val="等线"/>
        <family val="2"/>
      </rPr>
      <t xml:space="preserve">
</t>
    </r>
    <r>
      <rPr>
        <sz val="10"/>
        <color rgb="FF2F5597"/>
        <rFont val="等线"/>
        <family val="2"/>
      </rPr>
      <t>9.进行环氧产业链的三期需求评估</t>
    </r>
    <r>
      <rPr>
        <sz val="11"/>
        <color rgb="FF000000"/>
        <rFont val="等线"/>
        <family val="2"/>
      </rPr>
      <t xml:space="preserve">
</t>
    </r>
    <r>
      <rPr>
        <sz val="10"/>
        <color rgb="FF2F5597"/>
        <rFont val="等线"/>
        <family val="2"/>
      </rPr>
      <t>10.圣奥CRM方案按照张浩总要求更新。</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</si>
  <si>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7.南通星辰CRM物流功能优化项目上线试运行支持(业务冲销功能测试)</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8.中化河北二期需求沟通</t>
    </r>
    <r>
      <rPr>
        <sz val="11"/>
        <color rgb="FF000000"/>
        <rFont val="等线"/>
        <family val="2"/>
      </rPr>
      <t xml:space="preserve">
</t>
    </r>
    <r>
      <rPr>
        <sz val="10"/>
        <color rgb="FF2F5597"/>
        <rFont val="等线"/>
        <family val="2"/>
      </rPr>
      <t>9.环氧产业链的三期需求沟通</t>
    </r>
    <r>
      <rPr>
        <sz val="11"/>
        <color rgb="FF000000"/>
        <rFont val="等线"/>
        <family val="2"/>
      </rPr>
      <t xml:space="preserve">
</t>
    </r>
    <r>
      <rPr>
        <sz val="10"/>
        <color rgb="FF2F5597"/>
        <rFont val="等线"/>
        <family val="2"/>
      </rPr>
      <t>10.圣奥CRM方案按照张浩总要求更新</t>
    </r>
    <r>
      <rPr>
        <sz val="11"/>
        <color rgb="FF000000"/>
        <rFont val="等线"/>
        <family val="2"/>
      </rPr>
      <t xml:space="preserve">
</t>
    </r>
    <r>
      <rPr>
        <sz val="10"/>
        <color rgb="FF2F5597"/>
        <rFont val="等线"/>
        <family val="2"/>
      </rPr>
      <t>11.工程塑料产业链的三期需求沟通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</si>
  <si>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7.南通星辰CRM物流功能优化项目上线支持</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8.中化河北二期需求范围确认</t>
    </r>
    <r>
      <rPr>
        <sz val="11"/>
        <color rgb="FF000000"/>
        <rFont val="等线"/>
        <family val="2"/>
      </rPr>
      <t xml:space="preserve">
</t>
    </r>
    <r>
      <rPr>
        <sz val="10"/>
        <color rgb="FF2F5597"/>
        <rFont val="等线"/>
        <family val="2"/>
      </rPr>
      <t>9.环氧产业链的三期月报需求逻辑沟通</t>
    </r>
    <r>
      <rPr>
        <sz val="11"/>
        <color rgb="FF000000"/>
        <rFont val="等线"/>
        <family val="2"/>
      </rPr>
      <t xml:space="preserve">
</t>
    </r>
    <r>
      <rPr>
        <sz val="10"/>
        <color rgb="FF2F5597"/>
        <rFont val="等线"/>
        <family val="2"/>
      </rPr>
      <t>10.圣奥CRM方案已更新提供给张浩总</t>
    </r>
    <r>
      <rPr>
        <sz val="11"/>
        <color rgb="FF000000"/>
        <rFont val="等线"/>
        <family val="2"/>
      </rPr>
      <t xml:space="preserve">
</t>
    </r>
    <r>
      <rPr>
        <sz val="10"/>
        <color rgb="FF2F5597"/>
        <rFont val="等线"/>
        <family val="2"/>
      </rPr>
      <t>11.工程塑料产业链的三期月报需求逻辑沟通</t>
    </r>
    <r>
      <rPr>
        <sz val="11"/>
        <color rgb="FF000000"/>
        <rFont val="等线"/>
        <family val="2"/>
      </rPr>
      <t xml:space="preserve">
</t>
    </r>
    <r>
      <rPr>
        <sz val="10"/>
        <color rgb="FF2F5597"/>
        <rFont val="等线"/>
        <family val="2"/>
      </rPr>
      <t>12.中间体物流调度单功能沟通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</si>
  <si>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7.南通星辰CRM物流功能优化项目上线支持</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8.中化河北二期开票以及授信需求沟通</t>
    </r>
    <r>
      <rPr>
        <sz val="11"/>
        <color rgb="FF000000"/>
        <rFont val="等线"/>
        <family val="2"/>
      </rPr>
      <t xml:space="preserve">
</t>
    </r>
    <r>
      <rPr>
        <sz val="10"/>
        <color rgb="FF2F5597"/>
        <rFont val="等线"/>
        <family val="2"/>
      </rPr>
      <t>9.工塑产业链月报逻辑沟通</t>
    </r>
    <r>
      <rPr>
        <sz val="11"/>
        <color rgb="FF000000"/>
        <rFont val="等线"/>
        <family val="2"/>
      </rPr>
      <t xml:space="preserve">
</t>
    </r>
    <r>
      <rPr>
        <sz val="10"/>
        <color rgb="FF2F5597"/>
        <rFont val="等线"/>
        <family val="2"/>
      </rPr>
      <t>10.圣奥CRM方案汇报（预计周五）</t>
    </r>
    <r>
      <rPr>
        <sz val="11"/>
        <color rgb="FF000000"/>
        <rFont val="等线"/>
        <family val="2"/>
      </rPr>
      <t xml:space="preserve">
</t>
    </r>
    <r>
      <rPr>
        <sz val="10"/>
        <color rgb="FF2F5597"/>
        <rFont val="等线"/>
        <family val="2"/>
      </rPr>
      <t>11.中间体物流调度单功能沟通</t>
    </r>
    <r>
      <rPr>
        <sz val="11"/>
        <color rgb="FF000000"/>
        <rFont val="等线"/>
        <family val="2"/>
      </rPr>
      <t xml:space="preserve">
</t>
    </r>
    <r>
      <rPr>
        <sz val="10"/>
        <color rgb="FF2F5597"/>
        <rFont val="等线"/>
        <family val="2"/>
      </rPr>
      <t>12.锦湖物流调度功能介绍</t>
    </r>
    <r>
      <rPr>
        <sz val="11"/>
        <color rgb="FF000000"/>
        <rFont val="等线"/>
        <family val="2"/>
      </rPr>
      <t xml:space="preserve">
</t>
    </r>
    <r>
      <rPr>
        <sz val="10"/>
        <color rgb="FF2F5597"/>
        <rFont val="等线"/>
        <family val="2"/>
      </rPr>
      <t>13.与集团电商营销数据集成方案沟通</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</si>
  <si>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6.中间体系统功能切换上线（MDM接口集成暂停，等待MDM资源。）</t>
    </r>
    <r>
      <rPr>
        <sz val="11"/>
        <color rgb="FF000000"/>
        <rFont val="等线"/>
        <family val="2"/>
      </rPr>
      <t xml:space="preserve">
</t>
    </r>
    <r>
      <rPr>
        <sz val="10"/>
        <color rgb="FF2F5597"/>
        <rFont val="等线"/>
        <family val="2"/>
      </rPr>
      <t>7.南通星辰CRM物流功能优化项目上线支持</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8.锦湖物流调度功能介绍</t>
    </r>
    <r>
      <rPr>
        <sz val="11"/>
        <color rgb="FF000000"/>
        <rFont val="等线"/>
        <family val="2"/>
      </rPr>
      <t xml:space="preserve">
</t>
    </r>
    <r>
      <rPr>
        <sz val="10"/>
        <color rgb="FF2F5597"/>
        <rFont val="等线"/>
        <family val="2"/>
      </rPr>
      <t>9.几个重要产业链物流运费功能内部沟通会</t>
    </r>
    <r>
      <rPr>
        <sz val="11"/>
        <color rgb="FF000000"/>
        <rFont val="等线"/>
        <family val="2"/>
      </rPr>
      <t xml:space="preserve">
</t>
    </r>
    <r>
      <rPr>
        <sz val="10"/>
        <color rgb="FF2F5597"/>
        <rFont val="等线"/>
        <family val="2"/>
      </rPr>
      <t>10.完成2025年化工事业部CRM项目立项材料初稿</t>
    </r>
  </si>
  <si>
    <r>
      <rPr>
        <sz val="10"/>
        <color rgb="FF2F5597"/>
        <rFont val="等线"/>
        <family val="2"/>
      </rPr>
      <t>1上线支持</t>
    </r>
    <r>
      <rPr>
        <sz val="11"/>
        <color rgb="FF000000"/>
        <rFont val="等线"/>
        <family val="2"/>
      </rPr>
      <t xml:space="preserve">
</t>
    </r>
    <r>
      <rPr>
        <sz val="10"/>
        <color rgb="FF2F5597"/>
        <rFont val="等线"/>
        <family val="2"/>
      </rPr>
      <t>2.中间体系统功能切换上线（MDM接口集成暂停，等待MDM资源。）</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3.圣奥CRM方案汇报，确认项目范围</t>
    </r>
    <r>
      <rPr>
        <sz val="11"/>
        <color rgb="FF000000"/>
        <rFont val="等线"/>
        <family val="2"/>
      </rPr>
      <t xml:space="preserve">
</t>
    </r>
    <r>
      <rPr>
        <sz val="10"/>
        <color rgb="FF2F5597"/>
        <rFont val="等线"/>
        <family val="2"/>
      </rPr>
      <t>4.瑞恒物流方案材料准备，预计中旬进行方案汇报确认</t>
    </r>
    <r>
      <rPr>
        <sz val="11"/>
        <color rgb="FF000000"/>
        <rFont val="等线"/>
        <family val="2"/>
      </rPr>
      <t xml:space="preserve">
</t>
    </r>
    <r>
      <rPr>
        <sz val="10"/>
        <color rgb="FF2F5597"/>
        <rFont val="等线"/>
        <family val="2"/>
      </rPr>
      <t>5.完成2025年化工事业部CRM项目立项材料初稿</t>
    </r>
  </si>
  <si>
    <t>1上线支持
2025年CRM需求进展：
2.圣奥CRM需求调研
3.瑞恒物流方案材料准备，进行方案汇报确认
4.2025年化工事业部CRM项目立项材料内部沟通</t>
  </si>
  <si>
    <t>1上线支持
2025年CRM需求进展：
2.结合圣奥ERP升级项目，进行系统间业务划分以及数据流通沟通。（含物流调度及运费），目前问题，车辆入厂及厂内管控，无明确系统，无法明确获取调度相关状态（如：已入厂、已出厂等）以及进行业务变更冲销等管控。
3.瑞恒物流方案材料准备，预计周三进行方案汇报确认
4.2025年化工事业部CRM项目立项材料调整</t>
  </si>
  <si>
    <t>1上线支持
2025年CRM需求进展：
2.圣奥CRM初步方案汇报
3.瑞恒物流功能项目启动准备
4.2025年化工事业部CRM项目立项材料调整</t>
  </si>
  <si>
    <t>1上线支持
2025年CRM需求进展：
2.圣奥CRM方案汇报
3.锦湖物流调度系统功能演示
4.完成2025年化工事业部CRM项目立项材料
5.CRM与电商集成方案对接</t>
  </si>
  <si>
    <t>1上线支持
2.中间体合同变更事项推进
2025年CRM需求进展：
3.圣奥CRM方案汇报
4.锦湖物流调度系统功能演示，待环氧树脂事业部储运部协调确认时间
5.CRM与电商集成方案对接
6.瑞恒TMS系统建设
7.中化高纤二期功能UAT测试</t>
  </si>
  <si>
    <t>1上线支持
2.中间体合同变更事项推进
2025年CRM需求进展：
3.圣奥CRM方案梳理以及细节需求调研
4.锦湖物流调度系统功能演示，待环氧树脂事业部储运部协调确认时间
5.CRM与电商集成事项推进
6.瑞恒TMS系统建设，启动与预约一卡通集成事项沟通
7.中化高纤二期功能UAT测试</t>
  </si>
  <si>
    <t>1上线支持
2.中间体合同变更事项推进
2025年CRM需求进展：
3.圣奥CRM方案梳理以及细节需求调研
4.锦湖物流调度系统功能演示，待环氧树脂事业部储运部协调确认时间
5.CRM与电商集成建设
6.瑞恒TMS系统建设，、预约一卡通接口集成
7.中化高纤二期功能UAT测试</t>
  </si>
  <si>
    <t xml:space="preserve">1上线支持
2.中间体合同变更事项推进
2025年CRM需求进展：
3.圣奥CRM细节需求调研以及蓝图编制
4.锦湖物流调度系统功能演示，待环氧树脂事业部储运部协调确认时间
5.CRM与电商集成建设
6.瑞恒TMS系统建设，、预约一卡通接口集成
7.立项材料调整（周一完成）
</t>
  </si>
  <si>
    <t xml:space="preserve">1上线支持
2.中间体合同变更事项推进
2025年CRM需求进展：
3.圣奥CRM细节需求调研以及蓝图编制
4.锦湖物流调度系统功能演示，待环氧树脂事业部储运部协调确认时间
5.CRM与电商集成建设
6.瑞恒TMS系统建设，、预约一卡通接口联调测试，用户UAT测试
7.中间体TMS需求沟通
</t>
  </si>
  <si>
    <t>1上线支持
2025年CRM需求进展：
3.圣奥CRM细节需求调研以及蓝图编制
4.瑞恒TMS系统UAT测试，上线准备（预计7月28号上线）
5.锦湖TMS需求沟通，方案评估中
6.中化高纤上线切换
7.中间体三期功能初步完成UAT测试，TMS方案评估中</t>
  </si>
  <si>
    <t>1上线支持
2025年CRM需求进展：
3.圣奥CRM系统建设以及蓝图编制
4.瑞恒TMS系统用户培训（预计7月28号上线）
5.锦湖TMS需求沟通，方案评估中
6.中化高纤上线支持
7.中间体三期功能上线准备，TMS方案汇报</t>
  </si>
  <si>
    <t>1上线支持
2025年CRM需求进展：
3.圣奥CRM系统建设以及蓝图编制
4.瑞恒TMS系统上线切换
5.锦湖TMS方案提供
6.中化高纤上线支持
7.中间体TMS方案汇报
8.提交立项申请</t>
  </si>
  <si>
    <t>1上线支持
2025年CRM需求进展：
3.圣奥CRM系统建设
4.瑞恒TMS系统上线试运行
5.锦湖TMS方案跟进
6.中化高纤上线支持
7.中间体TMS方案，与中间体沟通后续如何推进方案评估
8.立项申请审批</t>
  </si>
  <si>
    <t>1上线支持
2025年CRM需求进展：
3.圣奥CRM系统建设
4.瑞恒TMS系统上线试运行
5.锦湖TMS方案跟进
6.中化高纤上线支持
7.立项申请审批</t>
  </si>
  <si>
    <t>1.2024年项目上线支持
2025年CRM需求进展：
2.圣奥CRM系统建设
3.瑞恒TMS系统上线试运行，问题整改
4.中化高纤上线支持
5.完成立项申请审批
6.CRM基线安全检查，问题整改</t>
  </si>
  <si>
    <t>1.2024年项目上线支持
2025年CRM需求进展：
2.圣奥CRM系统建设以及完成蓝图确认
3.瑞恒TMS系统上线试运行，问题整改
4.中化高纤上线支持
5.CRM基线安全检查，问题整改</t>
  </si>
  <si>
    <t>1.2024年项目上线支持
2025年CRM需求进展：
2.圣奥CRM集成测试以及完成蓝图确认
3.瑞恒TMS系统上线试运行，问题整改（完成与一卡通集成相关问题整改，推动瑞恒双酚A业务切换上线）
4.中化高纤上线支持
5.CRM基线安全检查，问题整改
6.中化河北项目启动准备</t>
  </si>
  <si>
    <t>1.2024年项目上线支持
2025年CRM需求进展：
2.圣奥CRM集成测试以及完成蓝图确认
3.瑞恒TMS系统上线试运行支持
4.中化高纤上线支持
5.CRM基线安全检查，问题整改
6.锦湖TMS方案现场沟通，项目准备
7.中间体TMS现场调研</t>
  </si>
  <si>
    <t>1.2024年项目上线支持
2025年CRM需求进展：
2.圣奥CRM集成测试以及完成蓝图确认
3.瑞恒TMS系统上线试运行支持
4.中化高纤上线支持
5.CRM基线安全检查，问题整改
6.锦湖TMS方案、报价更新
7.中间体TMS方案更新</t>
  </si>
  <si>
    <t>1.2024年项目上线支持
2025年CRM需求进展：
2.圣奥CRM集成测试及问题整改
3.瑞恒TMS系统上线试运行支持
4.中化高纤上线支持
5.CRM基线安全检查，问题整改
6.瑞恒TMS双酚A业务上线切换准备
7.环氧优化需求评估</t>
  </si>
  <si>
    <t>1.2024年项目上线支持
2025年CRM需求进展：
2.圣奥CRM上线准备
3.瑞恒TMS系统上线试运行支持以及双酚A 业务切换上线前功能复测，预计10月10号切换上线
4.中化高纤上线支持
5.CRM基线安全检查，问题整改
6.环氧CRM优化需求评估以及项目主计划编制
7.工塑CRM优化需求评估以及项目主计划编制
8.中化河北CRM优化需求评估以及项目主计划编制
9.中间体TMS预计国庆节后进行方案汇报</t>
  </si>
  <si>
    <t>1.2024年项目上线支持，项目整体上线确认中
2025年CRM需求进展：
2.圣奥CRM上线准备
3.瑞恒TMS系统上线试运行
4.中化高纤上线支持
5.CRM基线安全检查，问题整改
6.环氧TMS优化需求沟通
7.中化河北项目推进中
8.中间体TMS方案汇报，待中间体确认会议时间
9.锦湖TMS项目启动</t>
  </si>
  <si>
    <t>1.2024年项目上线支持，项目整体上线确认中
2025年CRM需求进展：
2.圣奥CRM上线准备
3.瑞恒TMS系统上线试运行
4.中化高纤上线支持
5.CRM基线安全检查，问题整改
6.完成环氧CRM优化可研报告，进行内部立项申请流程
7.中化河北项目细致需求调研
8.中间体TMS方案汇报
9.锦湖TMS项目启动
10.工塑CRM合同签署</t>
  </si>
  <si>
    <t>1.2024年项目上线支持，项目整体上线确认中
2025年CRM需求进展：
2.圣奥CRM所有功能上线切换
3.瑞恒TMS系统上线试运行
4.中化高纤上线支持
5.CRM基线安全复查
6.环氧CRM优化项目合同签署
7.中化河北项目细致需求调研
8.中间体TMS与外围系统集成功能初步沟通（中化仓储、一卡通以及SAP系统）&amp;项目主计划编制
9.锦湖TMS项目启动会召开
10.工塑CRM合同签署，AI功能沟通</t>
  </si>
  <si>
    <t>1.2024年项目上线支持
2025年CRM需求进展：
2.圣奥CRM上线支持
3.瑞恒TMS系统上线支持
4.中化高纤上线支持
5.环氧CRM优化项目合同签署
6.中化河北项目细致需求调研
7.锦湖TMS项目展开业务细致调研
8.工塑CRM合同签署，AI功能沟通</t>
  </si>
  <si>
    <t>2025年CRM项目进展：
1.圣奥CRM上线支持（泰国运费台账需求沟通）
2.瑞恒TMS系统上线支持
3.中化高纤上线支持
4.环氧CRM优化项目合同事项推进
5.中化河北项目蓝图梳理
6.锦湖TMS项目蓝图梳理
7.工塑CRMAI功能沟通&amp;特材事业部销售业务沟通
8.中间体TMS遗留待办问题推进</t>
  </si>
  <si>
    <t>2025年CRM项目进展：
1.圣奥CRM上线支持
2.瑞恒TMS系统上线支持
3.中化高纤上线支持
4.环氧CRM优化项目合同事项推进
5.中化河北项目蓝图梳理
6.锦湖TMS项目蓝图梳理
7.CRM AI 技术架构沟通
8.中间体TMS 项目计划编写以及启动沟通</t>
  </si>
  <si>
    <t>2025年CRM项目进展：
1.圣奥CRM上线支持
2.瑞恒TMS系统上线支持
3.中化高纤上线支持
4.中化河北项目蓝图确认以及接口集成计划沟通
6.锦湖TMS项目蓝图确认及接口集成计划沟通
7.CRM AI 技术架构沟通
8.中间体TMS 合同事宜沟通</t>
  </si>
  <si>
    <t>2025年CRM项目进展：
1.圣奥CRM上线支持
2.瑞恒TMS系统上线支持
3.中化高纤上线支持
4.中化河北功能单元测试
5.锦湖TMS项目与SAP进行接口集成计划沟通
7.CRM AI 方案推进跟踪
8.中间体TMS 合同事宜推进
9.工塑CRM三期优化功能实施中</t>
  </si>
  <si>
    <t>1.环氧产业链二期功能开发（共24个，已完成16个，1个联调中，5个开发中）、用户UAT测试、瑞恒、锦湖上线试运行支持
2.工塑产业链二期功能开发（共38个，已完成34个，2个开发中，1个测试中）、用户UAT测试
3.中化高纤上线支持
4.淮化完成上线切换
5.中化河北功能搭建（完成月报数据规则确认以及完成客户产品主数据导入）
6.中间体由于CRM实施合同以及与电商集成合同未签署（无法明确合同流程负责人），项目停滞，影响年底功能上线（尤其是与电商集成部分）
7.统一域名申请、以及完成安全方案（与顾明军确认）</t>
  </si>
  <si>
    <t xml:space="preserve">1.环氧产业链二期功能开发（共24个，已完成18个，1个联调中，4个开发中）、第二轮用户全业务流程测试以及测试问题调整、瑞恒、锦湖上线试运行支持。
2.工塑产业链二期功能开发（共38个，已完成34个，2个开发中，2个测试中）、第二轮用户全业务流程测试以及测试问题调整。
3.中化高纤上线支持
4.淮化上线支持
5.中化河北完成一期功能测试及培训，并进行上线切换。二期功能建设
6.中间体项目暂停，影响年底功能上线（尤其是与电商集成部分）。
按照目前项目进度，需尽快完成项目合同签署，重新启动项目，需马总协调推进：
1) 环氧树脂产业链实施费用中涉及瑞恒分摊133325元。（瑞恒反馈无采购合同权限，需中间体采购，目前此问题也需马总协调）
2)中间体产业链实施费用合同
3）中间体-电商集成功能合同
4）项目立项中确定的由中间体支付云服务迁移费用
</t>
  </si>
  <si>
    <r>
      <rPr>
        <sz val="10"/>
        <color rgb="FF000000"/>
        <rFont val="等线"/>
        <family val="2"/>
      </rPr>
      <t>1.环氧产业链二期功能开发（共31个，已完成20个，5个联调中，4个开发中）、第二轮用户全业务流程测试以及测试问题调整以及上线切换策略宣贯、瑞恒、锦湖上线试运行支持
2.工塑产业链二期功能开发（共38个，已完成35个，1个测试中）、第二轮用户全业务流程测试及测试问题调整、上线切换策略宣贯
3.中化高纤上线支持
4.淮化上线支持
5.中化河北完成一期功能上线试运行支持。
6.中间体项目暂停，影响年底功能上线，目前单一来源审批中。
涉及中间体合同进展：
1) 环氧树脂产业链实施费用中涉及瑞恒分摊133325元  目前状态：主数据申请，合同发起
2)中间体产业链实施费用合同    目前状态：单一来源审批中
3）</t>
    </r>
    <r>
      <rPr>
        <sz val="10"/>
        <color rgb="FFFF0000"/>
        <rFont val="微软雅黑"/>
        <family val="2"/>
        <charset val="134"/>
      </rPr>
      <t>中间体-电商集成功能合同    目前状态：根据马总反馈，需要准备立项材料，中间体内部汇报，再单独立项。风险点：1.此事件单独立项，立项需求材料是属地准备还是我这边准备。按照目前工作安排，环氧工塑CRM临近上线，正进入紧张上线准备阶段，若此需我这边准备，此项工作得安排到1月中旬推进。</t>
    </r>
    <r>
      <rPr>
        <sz val="10"/>
        <color rgb="FF000000"/>
        <rFont val="等线"/>
        <family val="2"/>
      </rPr>
      <t xml:space="preserve">
4）项目立项中确定的由中间体支付云服务迁移费用    目前状态：</t>
    </r>
  </si>
  <si>
    <r>
      <rPr>
        <sz val="10"/>
        <color rgb="FF000000"/>
        <rFont val="等线"/>
        <family val="3"/>
        <charset val="134"/>
      </rPr>
      <t>1.环氧产业链二期功能开发（共31个，已完成26个，3个开发中）、上线准备中、瑞恒、锦湖上线试运行支持</t>
    </r>
    <r>
      <rPr>
        <sz val="10"/>
        <color rgb="FF000000"/>
        <rFont val="等线"/>
        <family val="2"/>
      </rPr>
      <t xml:space="preserve">
</t>
    </r>
    <r>
      <rPr>
        <sz val="10"/>
        <color rgb="FF000000"/>
        <rFont val="等线"/>
        <family val="3"/>
        <charset val="134"/>
      </rPr>
      <t>2.工塑产业链二期功能开发（共38个，已完成36个）、完成上线切换策略宣贯以及上线前培训，上线准备中</t>
    </r>
    <r>
      <rPr>
        <sz val="10"/>
        <color rgb="FF000000"/>
        <rFont val="等线"/>
        <family val="2"/>
      </rPr>
      <t xml:space="preserve">
</t>
    </r>
    <r>
      <rPr>
        <sz val="10"/>
        <color rgb="FF000000"/>
        <rFont val="等线"/>
        <family val="3"/>
        <charset val="134"/>
      </rPr>
      <t>3.中化高纤上线支持</t>
    </r>
    <r>
      <rPr>
        <sz val="10"/>
        <color rgb="FF000000"/>
        <rFont val="等线"/>
        <family val="2"/>
      </rPr>
      <t xml:space="preserve">
</t>
    </r>
    <r>
      <rPr>
        <sz val="10"/>
        <color rgb="FF000000"/>
        <rFont val="等线"/>
        <family val="3"/>
        <charset val="134"/>
      </rPr>
      <t>4.淮化上线支持</t>
    </r>
    <r>
      <rPr>
        <sz val="10"/>
        <color rgb="FF000000"/>
        <rFont val="等线"/>
        <family val="2"/>
      </rPr>
      <t xml:space="preserve">
</t>
    </r>
    <r>
      <rPr>
        <sz val="10"/>
        <color rgb="FF000000"/>
        <rFont val="等线"/>
        <family val="3"/>
        <charset val="134"/>
      </rPr>
      <t>5.中化河北完成一期功能上线试运行支持。</t>
    </r>
    <r>
      <rPr>
        <sz val="10"/>
        <color rgb="FF000000"/>
        <rFont val="等线"/>
        <family val="2"/>
      </rPr>
      <t xml:space="preserve">
</t>
    </r>
    <r>
      <rPr>
        <sz val="10"/>
        <color rgb="FF000000"/>
        <rFont val="等线"/>
        <family val="3"/>
        <charset val="134"/>
      </rPr>
      <t>6.中间体项目，涉及中间体合同进展：</t>
    </r>
    <r>
      <rPr>
        <sz val="10"/>
        <color rgb="FF000000"/>
        <rFont val="等线"/>
        <family val="2"/>
      </rPr>
      <t xml:space="preserve">
</t>
    </r>
    <r>
      <rPr>
        <sz val="10"/>
        <color rgb="FF000000"/>
        <rFont val="等线"/>
        <family val="3"/>
        <charset val="134"/>
      </rPr>
      <t>1) 环氧树脂产业链实施费用中涉及瑞恒分摊133325元  目前状态：合同用印中，预计这周完全签署</t>
    </r>
    <r>
      <rPr>
        <sz val="10"/>
        <color rgb="FF000000"/>
        <rFont val="等线"/>
        <family val="2"/>
      </rPr>
      <t xml:space="preserve">
</t>
    </r>
    <r>
      <rPr>
        <sz val="10"/>
        <color rgb="FF000000"/>
        <rFont val="等线"/>
        <family val="3"/>
        <charset val="134"/>
      </rPr>
      <t>2)中间体产业链实施费用合同    目前状态：</t>
    </r>
    <r>
      <rPr>
        <sz val="10"/>
        <color rgb="FF000000"/>
        <rFont val="等线"/>
        <family val="2"/>
      </rPr>
      <t xml:space="preserve">
</t>
    </r>
    <r>
      <rPr>
        <sz val="10"/>
        <color rgb="FF000000"/>
        <rFont val="等线"/>
        <family val="3"/>
        <charset val="134"/>
      </rPr>
      <t>3）项目立项中确定的由中间体支付云服务迁移费用    目前状态：非招标采购申请流程审批中</t>
    </r>
  </si>
  <si>
    <r>
      <rPr>
        <sz val="10"/>
        <color rgb="FF000000"/>
        <rFont val="等线"/>
        <family val="2"/>
      </rPr>
      <t>1.环氧产业链二期功能上线切换以及上线数据补录、瑞恒、锦湖上线试运行支持</t>
    </r>
    <r>
      <rPr>
        <sz val="11"/>
        <color rgb="FF000000"/>
        <rFont val="等线"/>
        <family val="2"/>
      </rPr>
      <t xml:space="preserve">
</t>
    </r>
    <r>
      <rPr>
        <sz val="10"/>
        <color rgb="FF000000"/>
        <rFont val="等线"/>
        <family val="2"/>
      </rPr>
      <t>2.工塑产业链二期功能上线切换以及上线数据补录</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5.中化河北完成一期功能上线试运行支持。</t>
    </r>
    <r>
      <rPr>
        <sz val="11"/>
        <color rgb="FF000000"/>
        <rFont val="等线"/>
        <family val="2"/>
      </rPr>
      <t xml:space="preserve">
</t>
    </r>
    <r>
      <rPr>
        <sz val="10"/>
        <color rgb="FF000000"/>
        <rFont val="等线"/>
        <family val="2"/>
      </rPr>
      <t>6.中间体项目：</t>
    </r>
    <r>
      <rPr>
        <sz val="11"/>
        <color rgb="FF000000"/>
        <rFont val="等线"/>
        <family val="2"/>
      </rPr>
      <t xml:space="preserve">
</t>
    </r>
    <r>
      <rPr>
        <sz val="10"/>
        <color rgb="FF000000"/>
        <rFont val="等线"/>
        <family val="2"/>
      </rPr>
      <t>1) 环氧树脂产业链实施费用中涉及瑞恒分摊133325元  目前状态：合同审批中</t>
    </r>
    <r>
      <rPr>
        <sz val="11"/>
        <color rgb="FF000000"/>
        <rFont val="等线"/>
        <family val="2"/>
      </rPr>
      <t xml:space="preserve">
</t>
    </r>
    <r>
      <rPr>
        <sz val="10"/>
        <color rgb="FF000000"/>
        <rFont val="等线"/>
        <family val="2"/>
      </rPr>
      <t>2)中间体产业链实施费用合同    目前状态：合同审批中</t>
    </r>
    <r>
      <rPr>
        <sz val="11"/>
        <color rgb="FF000000"/>
        <rFont val="等线"/>
        <family val="2"/>
      </rPr>
      <t xml:space="preserve">
</t>
    </r>
    <r>
      <rPr>
        <sz val="10"/>
        <color rgb="FF000000"/>
        <rFont val="等线"/>
        <family val="2"/>
      </rPr>
      <t>3）项目立项中确定的由中间体支付云服务迁移费用    目前状态：非招标采购申请流程审批中</t>
    </r>
  </si>
  <si>
    <r>
      <rPr>
        <sz val="10"/>
        <color rgb="FF000000"/>
        <rFont val="等线"/>
        <family val="2"/>
      </rPr>
      <t>1.环氧产业链南通业务上线数据补录以及ERP补录数据完成部分推送、瑞恒、锦湖上线试运行支持</t>
    </r>
    <r>
      <rPr>
        <sz val="11"/>
        <color rgb="FF000000"/>
        <rFont val="等线"/>
        <family val="2"/>
      </rPr>
      <t xml:space="preserve">
</t>
    </r>
    <r>
      <rPr>
        <sz val="10"/>
        <color rgb="FF000000"/>
        <rFont val="等线"/>
        <family val="2"/>
      </rPr>
      <t>2.工塑产业链南通业务上线数据补录以及ERP补录数据完成部分推送、瑞泰轻量化上线试运行支持（其中轻量化销售合同授信功能于OA上功能有问题，预计下周二进行多系统功能联调）</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5.中化河北完成一期功能上线试运行支持。</t>
    </r>
    <r>
      <rPr>
        <sz val="11"/>
        <color rgb="FF000000"/>
        <rFont val="等线"/>
        <family val="2"/>
      </rPr>
      <t xml:space="preserve">
</t>
    </r>
    <r>
      <rPr>
        <sz val="10"/>
        <color rgb="FF000000"/>
        <rFont val="等线"/>
        <family val="2"/>
      </rPr>
      <t>6.中间体项目（项目滞后）：</t>
    </r>
    <r>
      <rPr>
        <sz val="11"/>
        <color rgb="FF000000"/>
        <rFont val="等线"/>
        <family val="2"/>
      </rPr>
      <t xml:space="preserve">
</t>
    </r>
    <r>
      <rPr>
        <sz val="10"/>
        <color rgb="FF000000"/>
        <rFont val="等线"/>
        <family val="2"/>
      </rPr>
      <t>1) 环氧树脂产业链实施费用中涉及瑞恒分摊133325元  目前状态：完成签署</t>
    </r>
    <r>
      <rPr>
        <sz val="11"/>
        <color rgb="FF000000"/>
        <rFont val="等线"/>
        <family val="2"/>
      </rPr>
      <t xml:space="preserve">
</t>
    </r>
    <r>
      <rPr>
        <sz val="10"/>
        <color rgb="FF000000"/>
        <rFont val="等线"/>
        <family val="2"/>
      </rPr>
      <t>2)中间体产业链实施费用合同    目前状态：合同审批中</t>
    </r>
    <r>
      <rPr>
        <sz val="11"/>
        <color rgb="FF000000"/>
        <rFont val="等线"/>
        <family val="2"/>
      </rPr>
      <t xml:space="preserve">
</t>
    </r>
    <r>
      <rPr>
        <sz val="10"/>
        <color rgb="FF000000"/>
        <rFont val="等线"/>
        <family val="2"/>
      </rPr>
      <t>3）项目立项中确定的由中间体支付云服务迁移费用    目前状态：合同审批中</t>
    </r>
    <r>
      <rPr>
        <sz val="11"/>
        <color rgb="FF000000"/>
        <rFont val="等线"/>
        <family val="2"/>
      </rPr>
      <t xml:space="preserve">
</t>
    </r>
    <r>
      <rPr>
        <sz val="10"/>
        <color rgb="FF000000"/>
        <rFont val="等线"/>
        <family val="2"/>
      </rPr>
      <t>7.南通星辰CRM物流功能优化项目，上线切换（其中芮城项目合同未仍未签署）</t>
    </r>
  </si>
  <si>
    <r>
      <rPr>
        <sz val="10"/>
        <color rgb="FF000000"/>
        <rFont val="等线"/>
        <family val="2"/>
      </rPr>
      <t>1.环氧产业链南通业务上线试运行支持、瑞恒、锦湖上线支持</t>
    </r>
    <r>
      <rPr>
        <sz val="11"/>
        <color rgb="FF000000"/>
        <rFont val="等线"/>
        <family val="2"/>
      </rPr>
      <t xml:space="preserve">
</t>
    </r>
    <r>
      <rPr>
        <sz val="10"/>
        <color rgb="FF000000"/>
        <rFont val="等线"/>
        <family val="2"/>
      </rPr>
      <t>2.环氧产业链南通业务上线试运行支持、瑞泰轻量化上线试运行支持（其中轻量化销售合同授信功能于OA上功能有问题，本周联调测试进行中）</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5.中化河北完成一期功能上线试运行支持。</t>
    </r>
    <r>
      <rPr>
        <sz val="11"/>
        <color rgb="FF000000"/>
        <rFont val="等线"/>
        <family val="2"/>
      </rPr>
      <t xml:space="preserve">
</t>
    </r>
    <r>
      <rPr>
        <sz val="10"/>
        <color rgb="FF000000"/>
        <rFont val="等线"/>
        <family val="2"/>
      </rPr>
      <t>6.中间体项目合同扬农均已签署</t>
    </r>
    <r>
      <rPr>
        <sz val="11"/>
        <color rgb="FF000000"/>
        <rFont val="等线"/>
        <family val="2"/>
      </rPr>
      <t xml:space="preserve">
</t>
    </r>
    <r>
      <rPr>
        <sz val="10"/>
        <color rgb="FF000000"/>
        <rFont val="等线"/>
        <family val="2"/>
      </rPr>
      <t>7.南通星辰CRM物流功能优化项目：上线切换，发现问题：月结期间，销售订单，外向交货单均不允许创建，但是仍然需要进行发运流转，和原先确定的，以外向交货单流转的方案不满足此场景，计划下周沟通解决方案(其中芮城项目合同未仍未签署）</t>
    </r>
  </si>
  <si>
    <r>
      <rPr>
        <sz val="10"/>
        <color rgb="FF000000"/>
        <rFont val="等线"/>
        <family val="2"/>
      </rPr>
      <t>1.环氧产业链南通业务上线试运行支持、瑞恒、锦湖上线支持</t>
    </r>
    <r>
      <rPr>
        <sz val="11"/>
        <color rgb="FF000000"/>
        <rFont val="等线"/>
        <family val="2"/>
      </rPr>
      <t xml:space="preserve">
</t>
    </r>
    <r>
      <rPr>
        <sz val="10"/>
        <color rgb="FF000000"/>
        <rFont val="等线"/>
        <family val="2"/>
      </rPr>
      <t>2.环氧产业链南通业务上线试运行支持、瑞泰轻量化上线试运行支持，轻量化销售合同授信功能切换上线</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5.中化河北完成一期功能上线试运行支持。</t>
    </r>
    <r>
      <rPr>
        <sz val="11"/>
        <color rgb="FF000000"/>
        <rFont val="等线"/>
        <family val="2"/>
      </rPr>
      <t xml:space="preserve">
</t>
    </r>
    <r>
      <rPr>
        <sz val="10"/>
        <color rgb="FF000000"/>
        <rFont val="等线"/>
        <family val="2"/>
      </rPr>
      <t>6.中间体项目合同扬农均已签署</t>
    </r>
    <r>
      <rPr>
        <sz val="11"/>
        <color rgb="FF000000"/>
        <rFont val="等线"/>
        <family val="2"/>
      </rPr>
      <t xml:space="preserve">
</t>
    </r>
    <r>
      <rPr>
        <sz val="10"/>
        <color rgb="FF000000"/>
        <rFont val="等线"/>
        <family val="2"/>
      </rPr>
      <t>7.南通星辰CRM物流功能优化项目：</t>
    </r>
    <r>
      <rPr>
        <sz val="11"/>
        <color rgb="FF000000"/>
        <rFont val="等线"/>
        <family val="2"/>
      </rPr>
      <t xml:space="preserve">
</t>
    </r>
    <r>
      <rPr>
        <sz val="10"/>
        <color rgb="FF000000"/>
        <rFont val="等线"/>
        <family val="2"/>
      </rPr>
      <t>上线切换中发现问题：1.目前由于工塑补录手工单未完成，月结后存在新业务与补录业务同阶段创建外向交货单场景，避免重复发运风险，沟通临时解决方案：CRM系统中增加字段是否手工单，当选择非手工单时，数据传输TMS功能进行发运。(方案已定，功能调整中)</t>
    </r>
    <r>
      <rPr>
        <sz val="11"/>
        <color rgb="FF000000"/>
        <rFont val="等线"/>
        <family val="2"/>
      </rPr>
      <t xml:space="preserve">
</t>
    </r>
    <r>
      <rPr>
        <sz val="10"/>
        <color rgb="FF000000"/>
        <rFont val="等线"/>
        <family val="2"/>
      </rPr>
      <t xml:space="preserve">                                     2.月结期间，无库存的销售业务需发运业务场景初步方案沟通（待梳理详细方案）</t>
    </r>
    <r>
      <rPr>
        <sz val="11"/>
        <color rgb="FF000000"/>
        <rFont val="等线"/>
        <family val="2"/>
      </rPr>
      <t xml:space="preserve">
</t>
    </r>
    <r>
      <rPr>
        <sz val="10"/>
        <color rgb="FF000000"/>
        <rFont val="等线"/>
        <family val="2"/>
      </rPr>
      <t>8.准备系统上线安全材料</t>
    </r>
    <r>
      <rPr>
        <sz val="11"/>
        <color rgb="FF000000"/>
        <rFont val="等线"/>
        <family val="2"/>
      </rPr>
      <t xml:space="preserve">
</t>
    </r>
    <r>
      <rPr>
        <sz val="10"/>
        <color rgb="FF000000"/>
        <rFont val="等线"/>
        <family val="2"/>
      </rPr>
      <t>9.与营销管理部张浩沟通2025年CRM项目工作安排</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</si>
  <si>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5.中化河北完成一期功能上线试运行支持</t>
    </r>
    <r>
      <rPr>
        <sz val="11"/>
        <color rgb="FF000000"/>
        <rFont val="等线"/>
        <family val="2"/>
      </rPr>
      <t xml:space="preserve">
</t>
    </r>
    <r>
      <rPr>
        <sz val="10"/>
        <color rgb="FF000000"/>
        <rFont val="等线"/>
        <family val="2"/>
      </rPr>
      <t>6.南通星辰CRM物流功能优化项目上线试运行支持：月结期间，无库存的销售业务需发运业务场景初步方案沟通（待梳理详细方案</t>
    </r>
    <r>
      <rPr>
        <sz val="11"/>
        <color rgb="FF000000"/>
        <rFont val="等线"/>
        <family val="2"/>
      </rPr>
      <t xml:space="preserve">
</t>
    </r>
    <r>
      <rPr>
        <sz val="10"/>
        <color rgb="FF000000"/>
        <rFont val="等线"/>
        <family val="2"/>
      </rPr>
      <t>7.上线安全相关材料准备，经过与黄亮总沟通，上线安全检查以及等保测评预计需6万，项目立项材料中上线准备及等保测评预算为3万，事项停滞</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</si>
  <si>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5.中间体CRM销售合同功能建设</t>
    </r>
    <r>
      <rPr>
        <sz val="11"/>
        <color rgb="FF000000"/>
        <rFont val="等线"/>
        <family val="2"/>
      </rPr>
      <t xml:space="preserve">
</t>
    </r>
    <r>
      <rPr>
        <sz val="10"/>
        <color rgb="FF000000"/>
        <rFont val="等线"/>
        <family val="2"/>
      </rPr>
      <t>6.南通星辰CRM物流功能优化项目上线试运行支持：销售业务冲销，发运如何处理方案初步沟通</t>
    </r>
    <r>
      <rPr>
        <sz val="11"/>
        <color rgb="FF000000"/>
        <rFont val="等线"/>
        <family val="2"/>
      </rPr>
      <t xml:space="preserve">
</t>
    </r>
    <r>
      <rPr>
        <sz val="10"/>
        <color rgb="FF000000"/>
        <rFont val="等线"/>
        <family val="2"/>
      </rPr>
      <t>7.圣奥CRM功能初步调研，待梳理方案</t>
    </r>
    <r>
      <rPr>
        <sz val="11"/>
        <color rgb="FF000000"/>
        <rFont val="等线"/>
        <family val="2"/>
      </rPr>
      <t xml:space="preserve">
</t>
    </r>
    <r>
      <rPr>
        <sz val="10"/>
        <color rgb="FF000000"/>
        <rFont val="等线"/>
        <family val="2"/>
      </rPr>
      <t>8.化工事业部“1”需求沟通，纷享销客技术认证中</t>
    </r>
  </si>
  <si>
    <r>
      <rPr>
        <sz val="10"/>
        <color rgb="FF2F5597"/>
        <rFont val="等线"/>
        <family val="2"/>
      </rPr>
      <t>1.环氧产业链上线支持（开票冲销数据有误问题解决，回款数据有误问题解决）</t>
    </r>
    <r>
      <rPr>
        <sz val="11"/>
        <color rgb="FF000000"/>
        <rFont val="等线"/>
        <family val="2"/>
      </rPr>
      <t xml:space="preserve">
</t>
    </r>
    <r>
      <rPr>
        <sz val="10"/>
        <color rgb="FF2F5597"/>
        <rFont val="等线"/>
        <family val="2"/>
      </rPr>
      <t>2.工塑产业链上线试运行支持（1.销售合同框架协议电子用印文件流传输方式专题沟通会初步结论：由OA增加有影像系统接口，进行文件流的自动下载和上传 2.公司间交易方案探讨）</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6.中间体：销售合同对接开发，周报表  日报表需求评估</t>
    </r>
    <r>
      <rPr>
        <sz val="11"/>
        <color rgb="FF000000"/>
        <rFont val="等线"/>
        <family val="2"/>
      </rPr>
      <t xml:space="preserve">
</t>
    </r>
    <r>
      <rPr>
        <sz val="10"/>
        <color rgb="FF2F5597"/>
        <rFont val="等线"/>
        <family val="2"/>
      </rPr>
      <t>7.南通星辰CRM物流功能优化项目上线试运行支持（1.月结期间，无库存的销售业务需发运业务场景方案确认（新增需求） 2.销售删单特殊业务场景发运任务如何处理的方案确认  （新增需求）</t>
    </r>
    <r>
      <rPr>
        <sz val="11"/>
        <color rgb="FF000000"/>
        <rFont val="等线"/>
        <family val="2"/>
      </rPr>
      <t xml:space="preserve">
</t>
    </r>
    <r>
      <rPr>
        <sz val="10"/>
        <color rgb="FF2F5597"/>
        <rFont val="等线"/>
        <family val="2"/>
      </rPr>
      <t>8.圣奥CRM需求细化调研</t>
    </r>
    <r>
      <rPr>
        <sz val="11"/>
        <color rgb="FF000000"/>
        <rFont val="等线"/>
        <family val="2"/>
      </rPr>
      <t xml:space="preserve">
</t>
    </r>
    <r>
      <rPr>
        <sz val="10"/>
        <color rgb="FF2F5597"/>
        <rFont val="等线"/>
        <family val="2"/>
      </rPr>
      <t>9.化工事业部“1”指标细化调研</t>
    </r>
    <r>
      <rPr>
        <sz val="11"/>
        <color rgb="FF000000"/>
        <rFont val="等线"/>
        <family val="2"/>
      </rPr>
      <t xml:space="preserve">
</t>
    </r>
    <r>
      <rPr>
        <sz val="10"/>
        <color rgb="FF2F5597"/>
        <rFont val="等线"/>
        <family val="2"/>
      </rPr>
      <t>10.中化高纤二期需求调研</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</si>
  <si>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2.工塑产业链上线试运行支持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6.中间体：1.销售合同功能开发2.库存信息开发方案沟通3.日报、周报表系统开发</t>
    </r>
    <r>
      <rPr>
        <sz val="11"/>
        <color rgb="FF000000"/>
        <rFont val="等线"/>
        <family val="2"/>
      </rPr>
      <t xml:space="preserve">
</t>
    </r>
    <r>
      <rPr>
        <sz val="10"/>
        <color rgb="FF000000"/>
        <rFont val="等线"/>
        <family val="2"/>
      </rPr>
      <t>7.南通星辰CRM物流功能优化项目上线试运行支持</t>
    </r>
    <r>
      <rPr>
        <sz val="11"/>
        <color rgb="FF000000"/>
        <rFont val="等线"/>
        <family val="2"/>
      </rPr>
      <t xml:space="preserve">
</t>
    </r>
    <r>
      <rPr>
        <sz val="10"/>
        <color rgb="FF000000"/>
        <rFont val="等线"/>
        <family val="2"/>
      </rPr>
      <t>8.圣奥CRM方案纷享销客梳理中（预计3月3号提供）</t>
    </r>
    <r>
      <rPr>
        <sz val="11"/>
        <color rgb="FF000000"/>
        <rFont val="等线"/>
        <family val="2"/>
      </rPr>
      <t xml:space="preserve">
</t>
    </r>
    <r>
      <rPr>
        <sz val="10"/>
        <color rgb="FF000000"/>
        <rFont val="等线"/>
        <family val="2"/>
      </rPr>
      <t>9.化工事业部“1”立项材料准备</t>
    </r>
    <r>
      <rPr>
        <sz val="11"/>
        <color rgb="FF000000"/>
        <rFont val="等线"/>
        <family val="2"/>
      </rPr>
      <t xml:space="preserve">
</t>
    </r>
    <r>
      <rPr>
        <sz val="10"/>
        <color rgb="FF000000"/>
        <rFont val="等线"/>
        <family val="2"/>
      </rPr>
      <t>10.中化高纤二期需求调研</t>
    </r>
    <r>
      <rPr>
        <sz val="11"/>
        <color rgb="FF000000"/>
        <rFont val="等线"/>
        <family val="2"/>
      </rPr>
      <t xml:space="preserve">
</t>
    </r>
    <r>
      <rPr>
        <sz val="10"/>
        <color rgb="FF000000"/>
        <rFont val="等线"/>
        <family val="2"/>
      </rPr>
      <t>11.中间体CRM二期需求评估中</t>
    </r>
  </si>
  <si>
    <r>
      <rPr>
        <sz val="10"/>
        <color rgb="FF000000"/>
        <rFont val="等线"/>
        <family val="2"/>
      </rPr>
      <t>1.环氧产业链上线支持（由于财司、司库系统与财务共享系统，无法及时保障承兑汇票及时入账，CRM新增需求：增加临时解冻功能  此功能开发中）</t>
    </r>
    <r>
      <rPr>
        <sz val="11"/>
        <color rgb="FF000000"/>
        <rFont val="等线"/>
        <family val="2"/>
      </rPr>
      <t xml:space="preserve">
</t>
    </r>
    <r>
      <rPr>
        <sz val="10"/>
        <color rgb="FF000000"/>
        <rFont val="等线"/>
        <family val="2"/>
      </rPr>
      <t>2.工塑产业链上线试运行支持（由于财司、司库系统与财务共享系统，无法及时保障承兑汇票及时入账，CRM新增需求：增加临时解冻功能  此功能开发中）</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6.中间体：1.完成销售合同功能开发，功能测试中2.完成库位信息档案3.日报、周报表系统开发</t>
    </r>
    <r>
      <rPr>
        <sz val="11"/>
        <color rgb="FF000000"/>
        <rFont val="等线"/>
        <family val="2"/>
      </rPr>
      <t xml:space="preserve">
</t>
    </r>
    <r>
      <rPr>
        <sz val="10"/>
        <color rgb="FF000000"/>
        <rFont val="等线"/>
        <family val="2"/>
      </rPr>
      <t>7.南通星辰CRM物流功能优化项目上线试运行支持（新增需求：线上手工单功能建设中）</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8.圣奥CRM方案纷享销客梳理出初始方案，预计下周与圣奥CRM系统管理员程鹏沟通确认系统集成情况。</t>
    </r>
    <r>
      <rPr>
        <sz val="11"/>
        <color rgb="FF000000"/>
        <rFont val="等线"/>
        <family val="2"/>
      </rPr>
      <t xml:space="preserve">
</t>
    </r>
    <r>
      <rPr>
        <sz val="10"/>
        <color rgb="FF000000"/>
        <rFont val="等线"/>
        <family val="2"/>
      </rPr>
      <t>9.化工事业部“1”立项材料准备</t>
    </r>
    <r>
      <rPr>
        <sz val="11"/>
        <color rgb="FF000000"/>
        <rFont val="等线"/>
        <family val="2"/>
      </rPr>
      <t xml:space="preserve">
</t>
    </r>
    <r>
      <rPr>
        <sz val="10"/>
        <color rgb="FF000000"/>
        <rFont val="等线"/>
        <family val="2"/>
      </rPr>
      <t>10.2025年中化高纤二期需求调研</t>
    </r>
    <r>
      <rPr>
        <sz val="11"/>
        <color rgb="FF000000"/>
        <rFont val="等线"/>
        <family val="2"/>
      </rPr>
      <t xml:space="preserve">
</t>
    </r>
    <r>
      <rPr>
        <sz val="10"/>
        <color rgb="FF000000"/>
        <rFont val="等线"/>
        <family val="2"/>
      </rPr>
      <t>11.2025年中间体CRM二期需求评估中</t>
    </r>
    <r>
      <rPr>
        <sz val="11"/>
        <color rgb="FF000000"/>
        <rFont val="等线"/>
        <family val="2"/>
      </rPr>
      <t xml:space="preserve">
</t>
    </r>
    <r>
      <rPr>
        <sz val="10"/>
        <color rgb="FF000000"/>
        <rFont val="等线"/>
        <family val="2"/>
      </rPr>
      <t>12.2025年环氧产业链CRM需求调研中</t>
    </r>
  </si>
  <si>
    <r>
      <rPr>
        <sz val="10"/>
        <color rgb="FF000000"/>
        <rFont val="等线"/>
        <family val="2"/>
      </rPr>
      <t>1.环氧产业链上线支持（新增临时解冻功能切换上线）</t>
    </r>
    <r>
      <rPr>
        <sz val="11"/>
        <color rgb="FF000000"/>
        <rFont val="等线"/>
        <family val="2"/>
      </rPr>
      <t xml:space="preserve">
</t>
    </r>
    <r>
      <rPr>
        <sz val="10"/>
        <color rgb="FF000000"/>
        <rFont val="等线"/>
        <family val="2"/>
      </rPr>
      <t>2.工塑产业链上线试运行支持（新增临时解冻功能切换上线）</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6.中间体项目建设中（完成内贸合同功能测试）</t>
    </r>
    <r>
      <rPr>
        <sz val="11"/>
        <color rgb="FF000000"/>
        <rFont val="等线"/>
        <family val="2"/>
      </rPr>
      <t xml:space="preserve">
</t>
    </r>
    <r>
      <rPr>
        <sz val="10"/>
        <color rgb="FF000000"/>
        <rFont val="等线"/>
        <family val="2"/>
      </rPr>
      <t>7.南通星辰CRM物流功能优化项目上线试运行支持（新增需求：线上手工单功能开发完成）</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8.与圣奥CRM系统管理员进行系统调研</t>
    </r>
    <r>
      <rPr>
        <sz val="11"/>
        <color rgb="FF000000"/>
        <rFont val="等线"/>
        <family val="2"/>
      </rPr>
      <t xml:space="preserve">
</t>
    </r>
    <r>
      <rPr>
        <sz val="10"/>
        <color rgb="FF000000"/>
        <rFont val="等线"/>
        <family val="2"/>
      </rPr>
      <t>9.化工事业部“1”立项材料提交预审</t>
    </r>
    <r>
      <rPr>
        <sz val="11"/>
        <color rgb="FF000000"/>
        <rFont val="等线"/>
        <family val="2"/>
      </rPr>
      <t xml:space="preserve">
</t>
    </r>
    <r>
      <rPr>
        <sz val="10"/>
        <color rgb="FF000000"/>
        <rFont val="等线"/>
        <family val="2"/>
      </rPr>
      <t>10.2025年中化高纤二期需求：与SAP彭静，业务三方方案沟通</t>
    </r>
    <r>
      <rPr>
        <sz val="11"/>
        <color rgb="FF000000"/>
        <rFont val="等线"/>
        <family val="2"/>
      </rPr>
      <t xml:space="preserve">
</t>
    </r>
    <r>
      <rPr>
        <sz val="10"/>
        <color rgb="FF000000"/>
        <rFont val="等线"/>
        <family val="2"/>
      </rPr>
      <t>11.2025年环氧树脂事业部瑞恒物流运费管理方案与物流、销售沟通</t>
    </r>
    <r>
      <rPr>
        <sz val="11"/>
        <color rgb="FF000000"/>
        <rFont val="等线"/>
        <family val="2"/>
      </rPr>
      <t xml:space="preserve">
</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</si>
  <si>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2.工塑产业链上线试运行支持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6.南通星辰CRM物流功能优化项目上线试运行支持（新增需求：完成线上手工单功能UAT测试，功能上线）</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8.召开化工事业部1立项沟通会</t>
    </r>
    <r>
      <rPr>
        <sz val="11"/>
        <color rgb="FF000000"/>
        <rFont val="等线"/>
        <family val="2"/>
      </rPr>
      <t xml:space="preserve">
</t>
    </r>
    <r>
      <rPr>
        <sz val="10"/>
        <color rgb="FF000000"/>
        <rFont val="等线"/>
        <family val="2"/>
      </rPr>
      <t>9.完成2025年中化高纤二期需求调研，待出方案，评估相关费用（含外围系统SAP等）</t>
    </r>
    <r>
      <rPr>
        <sz val="11"/>
        <color rgb="FF000000"/>
        <rFont val="等线"/>
        <family val="2"/>
      </rPr>
      <t xml:space="preserve">
</t>
    </r>
    <r>
      <rPr>
        <sz val="10"/>
        <color rgb="FF000000"/>
        <rFont val="等线"/>
        <family val="2"/>
      </rPr>
      <t>10.圣奥CRM方案已提交张浩总，待张浩总评估，明确下一步事项的推进</t>
    </r>
  </si>
  <si>
    <r>
      <rPr>
        <sz val="10"/>
        <color rgb="FF2F5597"/>
        <rFont val="等线"/>
        <family val="2"/>
      </rPr>
      <t>1.环氧产业链上线支持</t>
    </r>
    <r>
      <rPr>
        <sz val="11"/>
        <color rgb="FF000000"/>
        <rFont val="等线"/>
        <family val="2"/>
      </rPr>
      <t xml:space="preserve">
</t>
    </r>
    <r>
      <rPr>
        <sz val="10"/>
        <color rgb="FF2F5597"/>
        <rFont val="等线"/>
        <family val="2"/>
      </rPr>
      <t>2.工塑产业链上线试运行支持</t>
    </r>
    <r>
      <rPr>
        <sz val="11"/>
        <color rgb="FF000000"/>
        <rFont val="等线"/>
        <family val="2"/>
      </rPr>
      <t xml:space="preserve">
</t>
    </r>
    <r>
      <rPr>
        <sz val="10"/>
        <color rgb="FF2F5597"/>
        <rFont val="等线"/>
        <family val="2"/>
      </rPr>
      <t>3.中化高纤上线支持</t>
    </r>
    <r>
      <rPr>
        <sz val="11"/>
        <color rgb="FF000000"/>
        <rFont val="等线"/>
        <family val="2"/>
      </rPr>
      <t xml:space="preserve">
</t>
    </r>
    <r>
      <rPr>
        <sz val="10"/>
        <color rgb="FF2F5597"/>
        <rFont val="等线"/>
        <family val="2"/>
      </rPr>
      <t>4.淮化上线支持</t>
    </r>
    <r>
      <rPr>
        <sz val="11"/>
        <color rgb="FF000000"/>
        <rFont val="等线"/>
        <family val="2"/>
      </rPr>
      <t xml:space="preserve">
</t>
    </r>
    <r>
      <rPr>
        <sz val="10"/>
        <color rgb="FF2F5597"/>
        <rFont val="等线"/>
        <family val="2"/>
      </rPr>
      <t>5.中化河北上线支持</t>
    </r>
    <r>
      <rPr>
        <sz val="11"/>
        <color rgb="FF000000"/>
        <rFont val="等线"/>
        <family val="2"/>
      </rPr>
      <t xml:space="preserve">
</t>
    </r>
    <r>
      <rPr>
        <sz val="10"/>
        <color rgb="FF2F5597"/>
        <rFont val="等线"/>
        <family val="2"/>
      </rPr>
      <t>6.中间体系统功能上线培训，切换上线（MDM接口集成暂停，等待MDM资源。）</t>
    </r>
    <r>
      <rPr>
        <sz val="11"/>
        <color rgb="FF000000"/>
        <rFont val="等线"/>
        <family val="2"/>
      </rPr>
      <t xml:space="preserve">
</t>
    </r>
    <r>
      <rPr>
        <sz val="10"/>
        <color rgb="FF2F5597"/>
        <rFont val="等线"/>
        <family val="2"/>
      </rPr>
      <t>7.南通星辰CRM物流功能优化项目上线试运行支持(业务冲销功能开发)</t>
    </r>
    <r>
      <rPr>
        <sz val="11"/>
        <color rgb="FF000000"/>
        <rFont val="等线"/>
        <family val="2"/>
      </rPr>
      <t xml:space="preserve">
</t>
    </r>
    <r>
      <rPr>
        <sz val="10"/>
        <color rgb="FF2F5597"/>
        <rFont val="等线"/>
        <family val="2"/>
      </rPr>
      <t>8.上线安全检查申请（已与黄亮沟通，总费用3万元、等保定级黄亮总明确外网需定二级）</t>
    </r>
    <r>
      <rPr>
        <sz val="11"/>
        <color rgb="FF000000"/>
        <rFont val="等线"/>
        <family val="2"/>
      </rPr>
      <t xml:space="preserve">
</t>
    </r>
    <r>
      <rPr>
        <sz val="10"/>
        <color rgb="FF2F5597"/>
        <rFont val="等线"/>
        <family val="2"/>
      </rPr>
      <t>2025年CRM需求进展：</t>
    </r>
    <r>
      <rPr>
        <sz val="11"/>
        <color rgb="FF000000"/>
        <rFont val="等线"/>
        <family val="2"/>
      </rPr>
      <t xml:space="preserve">
</t>
    </r>
    <r>
      <rPr>
        <sz val="10"/>
        <color rgb="FF2F5597"/>
        <rFont val="等线"/>
        <family val="2"/>
      </rPr>
      <t>8.完成高纤的二期需求评估（含外围系统）</t>
    </r>
    <r>
      <rPr>
        <sz val="11"/>
        <color rgb="FF000000"/>
        <rFont val="等线"/>
        <family val="2"/>
      </rPr>
      <t xml:space="preserve">
</t>
    </r>
    <r>
      <rPr>
        <sz val="10"/>
        <color rgb="FF2F5597"/>
        <rFont val="等线"/>
        <family val="2"/>
      </rPr>
      <t>9.完成中间体的三期需求评估（ERP已完成、待预约一卡通）</t>
    </r>
    <r>
      <rPr>
        <sz val="11"/>
        <color rgb="FF000000"/>
        <rFont val="等线"/>
        <family val="2"/>
      </rPr>
      <t xml:space="preserve">
</t>
    </r>
    <r>
      <rPr>
        <sz val="10"/>
        <color rgb="FF2F5597"/>
        <rFont val="等线"/>
        <family val="2"/>
      </rPr>
      <t>10.明确环氧树脂事业部CRM优化范围以及瑞恒物流运费管理方案与扬农物流一卡通沟通</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</si>
  <si>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2.工塑产业链上线试运行支持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6.中间体系统功能切换上线（MDM接口集成暂停，等待MDM资源。）</t>
    </r>
    <r>
      <rPr>
        <sz val="11"/>
        <color rgb="FF000000"/>
        <rFont val="等线"/>
        <family val="2"/>
      </rPr>
      <t xml:space="preserve">
</t>
    </r>
    <r>
      <rPr>
        <sz val="10"/>
        <color rgb="FF000000"/>
        <rFont val="等线"/>
        <family val="2"/>
      </rPr>
      <t>7.南通星辰CRM物流功能优化项目上线试运行支持</t>
    </r>
    <r>
      <rPr>
        <sz val="11"/>
        <color rgb="FF000000"/>
        <rFont val="等线"/>
        <family val="2"/>
      </rPr>
      <t xml:space="preserve">
</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</si>
  <si>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2.工塑产业链上线试运行支持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6.中间体系统功能切换上线（MDM接口集成暂停，等待MDM资源。）</t>
    </r>
    <r>
      <rPr>
        <sz val="11"/>
        <color rgb="FF000000"/>
        <rFont val="等线"/>
        <family val="2"/>
      </rPr>
      <t xml:space="preserve">
</t>
    </r>
    <r>
      <rPr>
        <sz val="10"/>
        <color rgb="FF000000"/>
        <rFont val="等线"/>
        <family val="2"/>
      </rPr>
      <t>7.南通星辰CRM物流功能优化项目上线试运行支持(业务冲销功能切换上线)</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8.中化河北二期需求沟通</t>
    </r>
    <r>
      <rPr>
        <sz val="11"/>
        <color rgb="FF000000"/>
        <rFont val="等线"/>
        <family val="2"/>
      </rPr>
      <t xml:space="preserve">
</t>
    </r>
    <r>
      <rPr>
        <sz val="10"/>
        <color rgb="FF000000"/>
        <rFont val="等线"/>
        <family val="2"/>
      </rPr>
      <t>9.环氧产业链的三期需求沟通</t>
    </r>
    <r>
      <rPr>
        <sz val="11"/>
        <color rgb="FF000000"/>
        <rFont val="等线"/>
        <family val="2"/>
      </rPr>
      <t xml:space="preserve">
</t>
    </r>
    <r>
      <rPr>
        <sz val="10"/>
        <color rgb="FF000000"/>
        <rFont val="等线"/>
        <family val="2"/>
      </rPr>
      <t>10.圣奥CRM方案按照张浩总要求更新</t>
    </r>
    <r>
      <rPr>
        <sz val="11"/>
        <color rgb="FF000000"/>
        <rFont val="等线"/>
        <family val="2"/>
      </rPr>
      <t xml:space="preserve">
</t>
    </r>
    <r>
      <rPr>
        <sz val="10"/>
        <color rgb="FF000000"/>
        <rFont val="等线"/>
        <family val="2"/>
      </rPr>
      <t>11.工程塑料产业链的三期需求沟通</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</si>
  <si>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6.中间体系统功能切换上线</t>
    </r>
    <r>
      <rPr>
        <sz val="10"/>
        <color rgb="FF2F5597"/>
        <rFont val="等线"/>
        <family val="2"/>
      </rPr>
      <t>（</t>
    </r>
    <r>
      <rPr>
        <sz val="10"/>
        <color rgb="FFFD4147"/>
        <rFont val="等线"/>
        <family val="2"/>
      </rPr>
      <t>MDM接口集成暂停，等待MDM资源。此接口中间体、锦湖等待MDM组资源已半年，业务着急，请MDM组尽快协调资源</t>
    </r>
    <r>
      <rPr>
        <sz val="10"/>
        <color rgb="FF2F5597"/>
        <rFont val="等线"/>
        <family val="2"/>
      </rPr>
      <t>）</t>
    </r>
    <r>
      <rPr>
        <sz val="11"/>
        <color rgb="FF000000"/>
        <rFont val="等线"/>
        <family val="2"/>
      </rPr>
      <t xml:space="preserve">
</t>
    </r>
    <r>
      <rPr>
        <sz val="10"/>
        <color rgb="FF000000"/>
        <rFont val="等线"/>
        <family val="2"/>
      </rPr>
      <t>7.南通星辰CRM物流功能优化项目上线支持</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8.中化河北二期需求范围</t>
    </r>
    <r>
      <rPr>
        <sz val="11"/>
        <color rgb="FF000000"/>
        <rFont val="等线"/>
        <family val="2"/>
      </rPr>
      <t xml:space="preserve">
</t>
    </r>
    <r>
      <rPr>
        <sz val="10"/>
        <color rgb="FF000000"/>
        <rFont val="等线"/>
        <family val="2"/>
      </rPr>
      <t>9.环氧产业链的三期月报需求逻辑沟通（完成SAP集成需求沟通，博科ERP的集成需求待沟通）</t>
    </r>
  </si>
  <si>
    <r>
      <rPr>
        <sz val="10"/>
        <color rgb="FF000000"/>
        <rFont val="等线"/>
        <family val="2"/>
      </rPr>
      <t>1.环氧产业链上线支持</t>
    </r>
    <r>
      <rPr>
        <sz val="11"/>
        <color rgb="FF000000"/>
        <rFont val="等线"/>
        <family val="2"/>
      </rPr>
      <t xml:space="preserve">
</t>
    </r>
    <r>
      <rPr>
        <sz val="10"/>
        <color rgb="FF000000"/>
        <rFont val="等线"/>
        <family val="2"/>
      </rPr>
      <t>2.工塑产业链上线支持</t>
    </r>
    <r>
      <rPr>
        <sz val="11"/>
        <color rgb="FF000000"/>
        <rFont val="等线"/>
        <family val="2"/>
      </rPr>
      <t xml:space="preserve">
</t>
    </r>
    <r>
      <rPr>
        <sz val="10"/>
        <color rgb="FF000000"/>
        <rFont val="等线"/>
        <family val="2"/>
      </rPr>
      <t>3.中化高纤上线支持</t>
    </r>
    <r>
      <rPr>
        <sz val="11"/>
        <color rgb="FF000000"/>
        <rFont val="等线"/>
        <family val="2"/>
      </rPr>
      <t xml:space="preserve">
</t>
    </r>
    <r>
      <rPr>
        <sz val="10"/>
        <color rgb="FF000000"/>
        <rFont val="等线"/>
        <family val="2"/>
      </rPr>
      <t>4.淮化上线支持</t>
    </r>
    <r>
      <rPr>
        <sz val="11"/>
        <color rgb="FF000000"/>
        <rFont val="等线"/>
        <family val="2"/>
      </rPr>
      <t xml:space="preserve">
</t>
    </r>
    <r>
      <rPr>
        <sz val="10"/>
        <color rgb="FF000000"/>
        <rFont val="等线"/>
        <family val="2"/>
      </rPr>
      <t>5.中化河北上线支持</t>
    </r>
    <r>
      <rPr>
        <sz val="11"/>
        <color rgb="FF000000"/>
        <rFont val="等线"/>
        <family val="2"/>
      </rPr>
      <t xml:space="preserve">
</t>
    </r>
    <r>
      <rPr>
        <sz val="10"/>
        <color rgb="FF000000"/>
        <rFont val="等线"/>
        <family val="2"/>
      </rPr>
      <t>6.中间体系统功能切换上线</t>
    </r>
    <r>
      <rPr>
        <sz val="10"/>
        <color rgb="FF2F5597"/>
        <rFont val="等线"/>
        <family val="2"/>
      </rPr>
      <t>（</t>
    </r>
    <r>
      <rPr>
        <sz val="10"/>
        <color rgb="FF000000"/>
        <rFont val="等线"/>
        <family val="2"/>
      </rPr>
      <t>MDM接口资源预计5月到位</t>
    </r>
    <r>
      <rPr>
        <sz val="10"/>
        <color rgb="FF2F5597"/>
        <rFont val="等线"/>
        <family val="2"/>
      </rPr>
      <t>）</t>
    </r>
    <r>
      <rPr>
        <sz val="11"/>
        <color rgb="FF000000"/>
        <rFont val="等线"/>
        <family val="2"/>
      </rPr>
      <t xml:space="preserve">
</t>
    </r>
    <r>
      <rPr>
        <sz val="10"/>
        <color rgb="FF000000"/>
        <rFont val="等线"/>
        <family val="2"/>
      </rPr>
      <t>7.南通星辰CRM物流功能优化项目上线支持</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8.中化河北二期需求范围确认</t>
    </r>
    <r>
      <rPr>
        <sz val="11"/>
        <color rgb="FF000000"/>
        <rFont val="等线"/>
        <family val="2"/>
      </rPr>
      <t xml:space="preserve">
</t>
    </r>
    <r>
      <rPr>
        <sz val="10"/>
        <color rgb="FF000000"/>
        <rFont val="等线"/>
        <family val="2"/>
      </rPr>
      <t>9.环氧产业链的三期月报需求逻辑沟通（完成SAP集成需求沟通，完成博科ERP的集成需求沟通）</t>
    </r>
    <r>
      <rPr>
        <sz val="11"/>
        <color rgb="FF000000"/>
        <rFont val="等线"/>
        <family val="2"/>
      </rPr>
      <t xml:space="preserve">
</t>
    </r>
    <r>
      <rPr>
        <sz val="10"/>
        <color rgb="FF000000"/>
        <rFont val="等线"/>
        <family val="2"/>
      </rPr>
      <t>10.工塑月报逻辑沟通</t>
    </r>
    <r>
      <rPr>
        <sz val="11"/>
        <color rgb="FF000000"/>
        <rFont val="等线"/>
        <family val="2"/>
      </rPr>
      <t xml:space="preserve">
</t>
    </r>
    <r>
      <rPr>
        <sz val="10"/>
        <color rgb="FF000000"/>
        <rFont val="等线"/>
        <family val="2"/>
      </rPr>
      <t>11.圣奥CRM方案汇报，由于圣奥领导临时有事，汇报取消，待张浩总重新约定时间（</t>
    </r>
    <r>
      <rPr>
        <sz val="10"/>
        <color rgb="FFFD4147"/>
        <rFont val="等线"/>
        <family val="2"/>
      </rPr>
      <t>此方案涉及化工事业部CRM以及致远CRM功能划分确认，圣奥SAP升级项目预计5月8号启动，需协同尽快汇报确认</t>
    </r>
    <r>
      <rPr>
        <sz val="10"/>
        <color rgb="FF000000"/>
        <rFont val="等线"/>
        <family val="2"/>
      </rPr>
      <t>）</t>
    </r>
    <r>
      <rPr>
        <sz val="11"/>
        <color rgb="FF000000"/>
        <rFont val="等线"/>
        <family val="2"/>
      </rPr>
      <t xml:space="preserve">
</t>
    </r>
    <r>
      <rPr>
        <sz val="10"/>
        <color rgb="FF000000"/>
        <rFont val="等线"/>
        <family val="2"/>
      </rPr>
      <t>12.CRM与电商集成事项沟通，目前待电商方内部评估取数范围以及成本最小化方案，电商方反馈让CRM方等待他们内部梳理好，再沟通。</t>
    </r>
  </si>
  <si>
    <r>
      <rPr>
        <sz val="10"/>
        <color rgb="FF000000"/>
        <rFont val="等线"/>
        <family val="2"/>
      </rPr>
      <t>1.2024年项目上线支持</t>
    </r>
    <r>
      <rPr>
        <sz val="11"/>
        <color rgb="FF000000"/>
        <rFont val="等线"/>
        <family val="2"/>
      </rPr>
      <t xml:space="preserve">
</t>
    </r>
    <r>
      <rPr>
        <sz val="10"/>
        <color rgb="FF000000"/>
        <rFont val="等线"/>
        <family val="2"/>
      </rPr>
      <t>2025年CRM需求进展：</t>
    </r>
    <r>
      <rPr>
        <sz val="11"/>
        <color rgb="FF000000"/>
        <rFont val="等线"/>
        <family val="2"/>
      </rPr>
      <t xml:space="preserve">
</t>
    </r>
    <r>
      <rPr>
        <sz val="10"/>
        <color rgb="FF000000"/>
        <rFont val="等线"/>
        <family val="2"/>
      </rPr>
      <t>2.物流调度以及运费管理方案沟通。</t>
    </r>
    <r>
      <rPr>
        <sz val="11"/>
        <color rgb="FF000000"/>
        <rFont val="等线"/>
        <family val="2"/>
      </rPr>
      <t xml:space="preserve">
</t>
    </r>
    <r>
      <rPr>
        <sz val="10"/>
        <color rgb="FF000000"/>
        <rFont val="等线"/>
        <family val="2"/>
      </rPr>
      <t>3..圣奥CRM方案汇报，延期至5月9号</t>
    </r>
    <r>
      <rPr>
        <sz val="11"/>
        <color rgb="FF000000"/>
        <rFont val="等线"/>
        <family val="2"/>
      </rPr>
      <t xml:space="preserve">
</t>
    </r>
    <r>
      <rPr>
        <sz val="10"/>
        <color rgb="FF000000"/>
        <rFont val="等线"/>
        <family val="2"/>
      </rPr>
      <t>4..CRM与电商集成事项沟通，目前待电商方内部评估取数范围以及成本最小化方案，电商方反馈让CRM方等待他们内部梳理好，预计5月7号完成。待电商内部沟通好，再与CRM进行方案沟通</t>
    </r>
    <r>
      <rPr>
        <sz val="11"/>
        <color rgb="FF000000"/>
        <rFont val="等线"/>
        <family val="2"/>
      </rPr>
      <t xml:space="preserve">
</t>
    </r>
    <r>
      <rPr>
        <sz val="10"/>
        <color rgb="FF000000"/>
        <rFont val="等线"/>
        <family val="2"/>
      </rPr>
      <t>5.2025年CRM立项材料准备</t>
    </r>
  </si>
  <si>
    <t>1.上线支持
2025年CRM需求进展：
2.圣奥CRM方案汇报，确认项目范围
3.瑞恒物流方案材料准备，预计中旬进行方案汇报确认
4.完成2025年化工事业部CRM项目立项材料初稿
5.CRM与电商集成方案沟通</t>
  </si>
  <si>
    <t>1.上线支持
2025年CRM需求进展：
2.圣奥CRM方案汇报，确认项目范围，现场调研中
3.瑞恒物流方案材料准备
4.完成2025年化工事业部CRM项目立项材料初稿
5.CRM与电商集成方案沟通</t>
  </si>
  <si>
    <t>1上线支持
2025年CRM需求进展：
2.结合圣奥ERP升级项目，明确系统间业务划分以及数据流通沟通。（含物流调度及运费）。
3.瑞恒物流方案汇报确认，编制项目计划
4.2025年化工事业部CRM项目立项材料预审，修改中</t>
  </si>
  <si>
    <t xml:space="preserve">1上线支持
2025年CRM需求进展：
2.添加剂CRM召开采购自提物流运费专题沟通会，方案汇报材料梳理中
3.2025年化工事业部CRM项目立项材料调整
4.中化高纤CRM二期优化建设中
5.中间体CRM三期优化建设中
6.瑞恒TMS建设中
7.明确集团电商-CRM费用
</t>
  </si>
  <si>
    <t>1上线支持
2.中间体合同变更相关事项沟通
2025年CRM需求进展：
1.圣奥CRM方案汇报
2.高纤CRM-SAP接口联调测试完成
3.完成2025年化工事业部CRM项目立项材料的修改，待下周纷享销客AI方案介绍后，再评估调整。
4.CRM与电商集成方案对接，由于电商时间冲突，未能沟通，预计延迟到下周二沟通
5.瑞恒TMS系统建设中，与预约一卡通系统进行接口集成计划沟通</t>
  </si>
  <si>
    <t>1上线支持
2.中间体合同变更事项推进（营销部门已初步沟通完毕）
2025年CRM需求进展：
3.圣奥CRM方案与运营管理部张浩总进行汇报
4.CRM与电商集成方案对接（初步方案，CRM数据写入化数仓，集团从化数仓取数，目前方案待化数仓评估中）
5.瑞恒TMS系统建设
6.中化高纤二期功能UAT测试
7.纷享销客CRM AI功能介绍，初步明确CRM ai应用场景，待后续与业务详细沟通</t>
  </si>
  <si>
    <t>1上线支持
2.中间体合同变更事项推进（待中间体签署补充协议）
2025年CRM需求进展：
3.圣奥CRM蓝图梳理中
4.CRM与电商集成方案对接（方案建设中，客户、产品数据CRM已写入化数仓）
5.瑞恒TMS系统建设（与预约一卡通接口集成沟通）
6.中化高纤二期功能UAT测试</t>
  </si>
  <si>
    <t>1上线支持
2.中间体合同变更事项推进（内部流程推进中）
2025年CRM需求进展：
3.圣奥CRM方案整体汇报，并与业务负责人进行细致调研沟通中
4.CRM与电商集成方案对接（客户、产品数据CRM已写入化数仓，电商与化数仓沟通中）
5.瑞恒TMS系统建设（与预约一卡通接口集成建设中）
6.完成中化高纤二期功能CRM-SAP UAT测试</t>
  </si>
  <si>
    <t>1上线支持
2.中间体合同变更事项待乙方盖章
2025年CRM需求进展：
3.圣奥CRM细节需求调研以及蓝图编制
4.CRM与电商集成建设（CRM已将数据写入化数仓，电商与化数仓数据链路已通，待化数仓创建视图数据中）
5.瑞恒TMS系统建设，预约一卡通接口联调测试中（预计7月下旬上线）
6.完成立项材料调整
7.中化高纤上线准备
8.中间体三期功能初步完成UAT测试</t>
  </si>
  <si>
    <t>1上线支持
2.中间体合同变更事项已完成
2025年CRM需求进展：
3.圣奥CRM细节需求调研以及蓝图编制
4.瑞恒TMS系统建设，预约一卡通接口完成联调测试（预计7月下旬上线）
5.锦湖TMS需求沟通
6.中化高纤上线切换
7.中间体三期功能初步完成UAT测试，TMS需求沟通</t>
  </si>
  <si>
    <t>1上线支持
2025年CRM需求进展：
3.圣奥CRM细节需求调研以及蓝图编制
4.瑞恒TMS完成UAT测试，进行上线准备
5.锦湖TMS方案设计
6.中化高纤上线支持
7.中间体三期功能初步完成UAT测试，TMS需求方案设计
8.完成CRM和电商集成事项
9.CRM价格磋商，待提供最新报价</t>
  </si>
  <si>
    <t>1上线支持
2025年CRM需求进展：
3.圣奥CRM系统建设以及蓝图编制
4.瑞恒TMS系统用户、承运商培训以及上线切换方案宣贯（预计7月28号上线）
5.锦湖TMS方案，待纷享销客二次优化
6.中化高纤上线支持
7.中间体二期功能第一阶段完成上线确认，三期功能TMS规划方案已发中间体，待反馈
8.立项材料内部审核已通过，待提立项申请流程</t>
  </si>
  <si>
    <t>1上线支持
2025年CRM需求进展：
3.圣奥CRM系统建设、完成蓝图编制
4.瑞恒TMS系统上线切换，上线切换正常
5.锦湖TMS方案提供
6.中化高纤上线支持
7.中间体TMS方案提供，待中间体反馈沟通
8.提交立项申请
9.项目归档材料梳理</t>
  </si>
  <si>
    <t>1上线支持
2025年CRM需求进展：
3.圣奥CRM系统建设
4.瑞恒TMS系统上线试运行
5.锦湖TMS方案提供
6.中化高纤上线支持
7.中间体TMS方案提供，待中间体反馈沟通
8.立项审批中（目前待淮化审批）</t>
  </si>
  <si>
    <t>1上线支持
2025年CRM需求进展：
2.圣奥CRM系统建设
3.瑞恒TMS系统上线试运行（与预约一卡通接口集成问题已沟通明确解决方案）
4.中化高纤上线支持
5.立项审批中（目前在数字化部负责人节点审批）
6.CRM基线安全检查，问题整改中
7.完成归档材料合同审批件补充</t>
  </si>
  <si>
    <t>1.2024年项目上线支持
2025年CRM需求进展：
2.圣奥CRM系统建设以及蓝图方案确认进行中
3.瑞恒TMS系统上线试运行
4.中化高纤上线支持
5.完成二期立项申请以及采购评比审批
6.CRM基线安全检查，问题整改中
7.与吴在华一起沟通中间体TMS方案，中间体TMS推广计划制定中</t>
  </si>
  <si>
    <t>1.2024年项目上线支持
2025年CRM需求进展：
2.圣奥CRM系统建设，蓝图确认中
3.瑞恒TMS系统上线试运行，问题整改
4.中化高纤上线支持
5.CRM基线安全检查，问题整改中
6.CRM合同事宜推进中
7.中间体销售订单，发货计划，发货通知单等二期需求上线切换，TMS购买证运输证方案调整</t>
  </si>
  <si>
    <t>1.2024年项目上线支持
2025年CRM需求进展：
2.圣奥CRM蓝图确认签字以及内部顾问联调测试
3.瑞恒TMS系统上线试运行，问题整改（与一卡通集成相关问题整改中）
4.中化高纤上线支持
5.CRM基线安全检查，问题整改中
6.中化河北项目启动准备
7.中间体TMS方案汇报
8.锦湖TMS项目准备
9.CRM合同推进（高纤，中化国际，瑞恒TMS合同推进中 ）</t>
  </si>
  <si>
    <t>1.2024年项目上线支持
2025年CRM需求进展：
2.圣奥CRM集成测试以及完成蓝图确认
3.瑞恒TMS系统上线试运行支持
4.中化高纤上线支持
5.CRM基线安全检查，问题整改中
6.锦湖TMS方案现场沟通，待提供最新方案及报价，项目准备
7.中间体TMS现场调研，梳理信息以及评估方案中，预计下周完成</t>
  </si>
  <si>
    <t>1.2024年项目上线支持
2025年CRM需求进展：
2.圣奥CRM集成测试以及完成蓝图确认
3.瑞恒TMS系统上线试运行支持
4.中化高纤上线支持
5.CRM基线安全检查，问题整改中（修复centos7,SSH相关漏洞，Apache2问题评估中）
6.锦湖TMS最终方案及报价已提供，待锦湖内部汇报评审。
7.中间体TMS评估方案已更新给吴在华，待安排汇报
8.环氧优化需求汇总沟通
9.中化河北需求沟通，合同事项推进中</t>
  </si>
  <si>
    <t>1.2024年项目上线支持
2025年CRM需求进展：
2.明确圣奥CRM上线切换方案以及上线准备事项
3.瑞恒TMS系统上线试运行支持，明确双酚A TMS的上线时间
4.中化高纤上线支持
5.CRM基线安全检查，问题整改中
6.锦湖TMS内部立项流程中，预计节后进行项目启动
7.中间体TMS方案优化并邮件发出</t>
  </si>
  <si>
    <t>1.2024年项目上线支持
2025年CRM需求进展：
2.圣奥CRM上线准备（已完成蓝图确认签字）
3.瑞恒TMS双酚A 业务完成上线切换
4.中化高纤上线支持
5.CRM基线安全检查，问题整改
6.完成工塑CRM优化需求评估以及项目主计划编制
7.完成中化河北CRM优化需求评估以及项目主计划编制（已完成合同签署）
9.锦湖TMS项目完成立项，进行寻源流程中，项目待启动。</t>
  </si>
  <si>
    <t>1.2024年项目上线支持
2025年CRM需求进展：
2.圣奥CRM上线准备（已完成培训，静态数据导入）
3.瑞恒TMS上线支持
4.中化高纤上线支持
5.CRM基线安全检查，问题整改（已处理59条，未处理4条，47条初评不需处理待安全组复评中）
6.工塑CRM合同签署中
7.锦湖TMS项目完成寻源，合同签署中
8.中间体TMS由于领导出差，未能进行方案汇报
9.环氧CRM需求确认，内部编写可研报告中</t>
  </si>
  <si>
    <t>1.2024年项目上线支持
2025年CRM需求进展：
2.圣奥CRM上线准备（售前功能已切换上线，业务动态数据梳理补录中）
3.工塑CRM客诉模块的需求开发
4.锦湖TMS项目启动会材料准备，锦湖正内部确认启动会时间
5.中间体TMS完成方案汇报，方案无问题，可细致沟通
6.环氧CRM内部立项已完成，准备合同事项
7.瑞恒TMS上线支持
8.中化高纤上线支持
9.CRM基线安全检查，问题已完成初步整改（共63项）</t>
  </si>
  <si>
    <t>1.2024年项目完成上线确认
2025年CRM需求进展：
2.圣奥CRM所有功能上线切换，并进行上线支持
3.工塑CRM客诉模块的需求开发
4.锦湖TMS项目召开启动会
5.中间体TMS与中化仓储，扬农一卡通，SAP初步沟通接口集成业务方案
6.环氧CRM合同事项准备中
7.瑞恒TMS上线支持
8.中化高纤上线支持
9.就中化橡机CRM服务部署于化工事业部云环境事项，进行过程问题调查（目前此项事情，除化工事业部无人知晓，纷享销客听从中化信息电商事业部刘扬，参与中化橡机功能的部署。）</t>
  </si>
  <si>
    <t>2025年CRM项目进展：
1.圣奥CRM上线支持
2.瑞恒TMS系统上线支持（完成上线确认签字）
3.中化高纤上线支持
4.环氧CRM优化项目合同内容沟通
5.中化河北项目细致需求调研，蓝图方案整理中
6.锦湖TMS项目展开业务细致调研，蓝图方案整理中
7.代码审计一个低危漏洞评估中，WEB应用四个中危漏洞已解决。
8.中化橡机CRM费用分摊事项沟通，目前待中化信息与中化橡机沟通，反馈结果。
9.CRM安全防火墙升级。</t>
  </si>
  <si>
    <t>2025年CRM项目进展：
1.圣奥CRM上线支持
2.瑞恒TMS系统上线支持
3.中化高纤上线支持
4.环氧CRM优化项目合同事项推进（已同步锦湖、瑞恒）
5.中化河北项目蓝图梳理中，CRM销售执行业务表单搭建中，预计下周及下下周，与SAP进行订单，发货单等接口联调。
6.锦湖TMS项目蓝图梳理中
7.工塑CRMAI功能沟通&amp;特材事业部销售业务沟通（与特材销售沟通，与南通星辰以委外加工方式进行合作；与特材采购部沟通，未知此合作方式。目前已反馈张乐敏，需特材内部明确业务模式。）
8.中间体TMS遗留待办问题中间体内部已完成确认</t>
  </si>
  <si>
    <t xml:space="preserve">2025年CRM项目进展：
1.圣奥CRM上线支持
2.瑞恒TMS系统上线支持
3.中化高纤上线支持
4.环氧CRM优化项目合同事项推进（锦湖关键用户反馈内部流程尚未明确是否能走通，需求暂停，项目暂停）
5.完成中化河北项目蓝图梳理，蓝图方案确认中。CRM销售执行业务表单搭建
6.完成锦湖TMS项目蓝图梳理，蓝图方案确认中
7.CRM通过上线安全检查
</t>
  </si>
  <si>
    <t>2025年CRM项目进展：
1.圣奥CRM上线支持
2.瑞恒TMS系统上线支持
3.中化高纤上线支持
4.环氧CRM优化项目合同事项推进（锦湖关键用户反馈内部流程尚未明确是否能走通，需求暂停，项目暂停）
5.中化河北系统实施中，本周主要进行与SAP接口集成开发及测试
6.完成锦湖TMS蓝图方案确认，CRM系统基础功能实施。
7.工塑CRM三期优化项目蓝图确认
8.中间体TMS项目进行报价、合同事宜推进
9.CRM ai技术架构沟通</t>
  </si>
  <si>
    <t>总部SRM优化</t>
  </si>
  <si>
    <t>吴在华</t>
  </si>
  <si>
    <t>考虑信创</t>
  </si>
  <si>
    <t>1）商务方式尽可能确认
2）按照实施计划开展可行的交流和开发工作
风险：集团的第三方开发人员尚未到位。</t>
  </si>
  <si>
    <t>1）本周二下午，与集团再次进行商务谈判
2）按照实施计划开展可行的交流和开发工作</t>
  </si>
  <si>
    <t>1）完成立项报告，并启动合同审批
2）按照实施计划开展开发工作
风险：采购商城开发人员本周进场。</t>
  </si>
  <si>
    <t>1）商务谈判
2）按照实施计划开展开发工作</t>
  </si>
  <si>
    <t>1）商务谈判
2）按照实施计划开展开发工作，按照进度，1月下旬上线；
模型表：初步完成清洗</t>
  </si>
  <si>
    <t>1）商务谈判
2）按照实施计划开展开发工作，
a.采购商城对接按计划1月下旬上线；
b.智能预警本周切换到生产环境进行数据验证</t>
  </si>
  <si>
    <t>1）商务谈判
2）按照实施计划开展开发工作，
a.采购商城对接按计划1月下旬上线；
b.智能预警本周开始生产环境数据验证</t>
  </si>
  <si>
    <t xml:space="preserve">1）商务谈判
宋佳佳本周三参加国际会议，计划通过领导交流，再次压降成本，推进合同
2）实施：
a.采购商城明确收货方案
b.继续解决上线前的遗留问题
</t>
  </si>
  <si>
    <t>1）价格还是偏高，继续谈判</t>
  </si>
  <si>
    <t>1)继续商务谈判</t>
  </si>
  <si>
    <t>1）完成立项申和采购合同
2）做上线准备工作</t>
  </si>
  <si>
    <t>1）完成合同 
2）做上线准备工作</t>
  </si>
  <si>
    <t>1）完成合同
2)做上线前准备工作</t>
  </si>
  <si>
    <t>1）准备上线前准备工作
2）发出培训通知，计划本周完成试点用户的培训</t>
  </si>
  <si>
    <t>1）3月25日上线前培训，计划4月初全面上线</t>
  </si>
  <si>
    <t>1)已经成功上线</t>
  </si>
  <si>
    <t>1）上线试运行一个月，试运行支持</t>
  </si>
  <si>
    <t>1）上线试运行一个月，试运行支持
2）租户合并方案研讨
3）2025年优化工作确认，目前基本已经确认工作内容，等待甄云整体评估费用</t>
  </si>
  <si>
    <t>1）租户方案研讨 
2）准备租户和优化立项材料</t>
  </si>
  <si>
    <t>1）准备租户和优化方案的立项报告</t>
  </si>
  <si>
    <t>1）完成租户和优化方案的立项报告</t>
  </si>
  <si>
    <t>1）进行价格谈判，并更新立项报告</t>
  </si>
  <si>
    <t>1）汇报立项报告，进行价格谈判</t>
  </si>
  <si>
    <t>1）汇报立项报告
2）组建项目实施团队，要求供应商提前入场</t>
  </si>
  <si>
    <t>1）制定项目计划
2）开始签署合同</t>
  </si>
  <si>
    <t>1）讨论设计方案，并调整项目计划，计划租户合并10月初上线</t>
  </si>
  <si>
    <t>1)由于张雪梅离职，因此重新商讨整体项目计划；目前预计租户合并推迟至添加剂项目上线后上线。</t>
  </si>
  <si>
    <t>1）项目方案和项目计划调整完毕；2）优化的部分功能先行实施</t>
  </si>
  <si>
    <t>1）按照项目计划进行需求调研和蓝图设计，主要工作如下：
租户合并方案细节梳理（个性化字段确认，二开功能梳理）；
鑫方盛电商平台对接；
寻源模块优化开发；
物流集合竞价、电商模块优化测试；
产业链方案整理；
供应商优化方案整理；</t>
  </si>
  <si>
    <t>1、添加剂升级：
1）添加剂升级和SAP接口开发（物料、供应商扩展、采购申请同步SAP）；
2）添加剂现有接口迁移（共享系统对接）；
3）OA接口调整（需求、寻源、订单以及合同审批接口字段调整以及接口对接方式调整）；
4）OA在途数量获取接口开发测试；
5）采购需求提报整体联调测试；
2、租户合并
1）租户合并二开功能梳理以及流程差异梳理；
2）租户合并二开功能是否保留沟通确认；
3、25年优化：
1）物流供应商竞价用户测试确认；
2）电商优化开发测试（涉及与外部系统对接部分，3）待外部系统响应）；
4）鑫方盛电商平台对接；
5）寻源优化整体测试；
6）超量寻源需求开发；</t>
  </si>
  <si>
    <t>添加剂升级：
1）采购需求提报整体流程测试验证（主材包材、备品备件、固定资产、费用化、项目采购）；
2）寻源流程测试验证（包括询价单发布审批、寻源结果审批）；
3）合格供应商审批验证；
4）SAP接口（订单接口开发、供应商扩展接口、预算校验接口、其它基础数据同步接口等）；
5）OA接口开发字段调整（需求计划、寻源单审批）；
寻源、订单模块界面改造调整；
租户合并
1）租户合并流程差异梳理；
25年优化：
1）物流供应商竞价用户测试确认；
2）物流供应商数据收集；
3）鑫方盛电商平台对接；
4）超量寻源需求测试；
5）紧急&amp;零星采购需求开发；
6）电商优化外部系统对接开发；
7）寻源优化开发；</t>
  </si>
  <si>
    <t>1、添加剂升级：
1）需求模块接口字段调整开发
2）OA审批接口调整（寻源审批、合格供应商、招标委托审批、合同审批、附件上传）
3）采购订单接口字段调整开发（新建接口、确认接口）
4）送货单接口调整开发
5）供应商新建/冻结接口同步MDM接口开发
6）供应商扩展同步SAP接口开发
7）基础数据以及物料主数据对接测试联调
8）SAP接口测试（供应商地点、采购订单、送货单、接收事务同步、供应商扩展）
9）OA接口联测（寻源审批、合格供应商、招标委托审批、合同审批、附件上传）
10）电商流程测试
2、25年优化：
1）产业链优化以及供应商优化方案评审
2）工作台指引测试以及交付用户验证
3）寻源优化功能开发以及测试
4）年度需求开发
5）专家抽取功能开发
6）25年优化升级功能用户验证（电商优化、超量寻源、紧急&amp;零星采购）
7）25年优化整体方案确认
3、租户合并：
1）订单合同方案沟通及确认。
2）订单合同方案沟通功能设计输出。
3）圣奥业务流程测试。</t>
  </si>
  <si>
    <t>1、添加剂升级：
1）需求模块接口字段调整开发
2）OA审批接口开发调整（合同审批）
3）SAP接口开发（供应商扩展、发票同步、合同付款记录同步）
4）供应商新建/冻结接口同步MDM接口测试
5）MDM金融机构接口测试
6）基础数据对接测试联调
7）SAP接口测试（采购订单、送货单、接收事务同步、供应商扩展）
8）OA接口联测（合同审批）
9）采购订单整体流程测试
10）父子订单方案梳理以及确认
11）寄售业务对接；
2、25年优化：
1）产业链优化以及供应商优化方案评审
2）寻源优化功能交付用户验证
3）年度需求测试
4）专家抽取功能开发
5）25年优化升级功能用户验证（电商优化、超量寻源、紧急&amp;零星采购、工作台指引、寻源优化）
6）25年优化整体方案确认
3、租户合并：
1）国际业务流程现状梳理。
2）国际业务系统流程测试。
3）国际业务现状流程图。</t>
  </si>
  <si>
    <t>1、添加剂升级：
1）OA审批接口开发调整（流程关闭皆接口）
2）SAP接口开发（供应商扩展、合同付款记录同步），具体以SAP时间为准
3）父子订单逻辑开发
4）寄售逻辑开发调整
5）发票优化开发
6）供应商新建/冻结接口同步MDM接口调整测试
7）MDM金融机构接口测试，接口地址已经地址，待MDM开发完成后测试
8）SAP接口测试（采购订单、送货单）
9）OA接口联测（合格供应商）
10）采购订单整体流程联调测试
2、25年优化：
1）产业链优化以及供应商优化方案评审
2）年度需求测试
3）专家抽取功能测试
4）25年优化升级功能用户验证（电商优化、超量寻源、紧急&amp;零星采购、工作台指引、寻源优化）
5）25年优化整体方案确认
3、租户合并
1）扬农业务流程现状梳理。
2）扬农业务系统流程测试。
3）扬农业务现状流程。
4）业务流程ppt整理。</t>
  </si>
  <si>
    <t>1、添加剂升级：
1）供应商扩展同步SAP接口开发调整:集团级拓展方案；
2）父子订单逻辑开发：物流联动逻辑
3）寄售逻辑开发调整；
4）电商WMS系统对接沟通；
5）OA关闭流程改造测试；
6）采购订单联调测试；
7）测试环境用户测试准备；
8）目录化、电商业务流程联调测试；
9）顾问侧全流程系统联调测试；
10）用户操作手册准备；
2、25年优化：
1）产业链优化以及供应商优化方案评审
2）调查表统一模板沟通以及整理
3）供应商绩效考评管理需求收集
4）25年优化升级功能用户验证（年度需求、专家抽取、电商优化、超量寻源、紧急&amp;零星采购、工作台指引、寻源优化）
3、租户合并：
1）基础数据合并梳理与确认。
2）采购申请业务表数据梳理。
3）测试环境数据覆盖dev。
4）业务流程ppt整理</t>
  </si>
  <si>
    <t>添加剂升级：
1）父子订单逻辑开发：送货联动逻辑；
2）寄售逻辑开发调整:中控接口对接开发；
3）电商WMS系统对接沟通：京东、震坤行沟通
4）采购订单联调测试；
5）跟进测试环境用户测试；
6）目录化、电商业务流程联调测试；
7）用户测试问题跟进；
8）用户操作手册准备；
9）添加剂上线基础数据整理；
10）SAP付款数据、基础数据同步接口测试调整；
11）父子订单全流程测试；
12）S4单据编号问题处理；
13）OA关闭接口遗漏场景梳理补充开发；
25年优化：
1）产业链优化以及供应商优化方案评审；
2）调查表统一模板确认；
3）供应商绩效考评管理优化方案整理；
4）25年优化升级功能用户验证（年度需求、专家抽取、电商优化、超量寻源、紧急&amp;零星采购、工作台指引、寻源优化）
租户合并：
1）基础数据合并方案汇报。
2）业务流程方案汇报。
3）接口方案整理。
4）主数据脚本整理同步进行。</t>
  </si>
  <si>
    <t>添加剂升级：
1）寄售逻辑开发调整:中控接口对接开发；
2）电商WMS系统对接沟通：京东、震坤行沟通
3）跟进用户第三轮测试；
4）用户测试问题跟进；
5）添加剂上线基础数据处理沟通；
6）SAP付款数据、基础数据同步接口测试调整；
7）S4单据编号问题处理；
8）OA关闭接口遗漏场景梳理补充开发；
9）添加剂测试优化需求功能设计以及开发；
10）电商自动收货同步ERP接口开发测试；
25年优化：
1）产业链优化以及供应商优化方案评审；
2）优化内容培训添加剂用户；
3）跟进添加剂用户测试优化需求；
4）跟进优化需求对接外部系统开发；
租户合并：
1）租户合并保留功能跟二开功能确认。
2）接口方案整理。
3）开始整理测试脚本。
4）测试数据覆盖Dev。
5）主数据租户合并脚本完善。
6）采购申请租户合并脚本整理。</t>
  </si>
  <si>
    <t>添加剂升级：
1)寄售业务与中控联调测试；
2)电商WMS系统对接沟通：京东、震坤行沟通
3)配合用户第四轮测试；
4)用户测试问题跟进；
5)添加剂上线数据切换策略确认；
6)SAP付款数据、基础数据同步接口测试调整；
7)S4单据编号问题处理；
8)添加剂测试优化需求功能设计以及开发；
9)电商自动收货同步ERP接口开发测试；
25年优化：
1)产业链优化以及供应商分类优化方案评审；
2)跟进添加剂用户测试电商优化流程；
3)添加剂测试过程问题以及需求反馈沟通；
4)跟进优化需求对接外部系统开发,目前正在和外部系统沟通，尚未开始开发；
租户合并：
1)租户合并二开功能调整方案沟通与确认。
2)租户合并方案签字。
3)外部系统接口安排事项输出与确认。
4)输出测试脚本。
5)供应商&amp;商城&amp;寻源数据合并脚本整理。</t>
  </si>
  <si>
    <t>1）添加剂升级：
寄售业务与中控联调测试；
电商WMS系统对接沟通：京东、震坤行沟通
配合用户第四轮测试；
用户测试问题跟进；
添加剂上线数据切换策略确认；
SAP付款数据、基础数据同步接口测试调整；
S4单据编号问题处理；
添加剂测试优化需求功能设计以及开发；
电商自动收货同步ERP接口开发测试；
2）25年优化：
产业链优化以及供应商分类优化方案评审；
跟进添加剂用户测试电商优化流程；
添加剂测试过程问题以及需求反馈沟通；
跟进优化需求对接外部系统开发,目前正在和外部系统沟通，尚未开始开发；
3）租户合并
租户合并二开功能调整方案沟通与确认。
租户合并方案签字。
外部系统接口安排事项输出与确认。
输出测试脚本。
供应商&amp;商城&amp;寻源数据合并脚本整理。</t>
  </si>
  <si>
    <t>1）添加剂升级：
寄售业务与中控联调测试完成；
电商WMS系统对接沟通：京东已确认使用寄售模式、震坤行尚未确认使用寄售还是智能柜模式；
用户测试过程优化需求测试；
SAP付款数据、汇率同步接口测试调整；
电商自动收货同步ERP接口测试；
添加剂上线期初数据收集以及整理；
2）25年优化：
产业链优化以及供应商分类优化功能设计整理以及确认；
电商优化SRM端自动收货上线准备以及上线安排；
跟进优化需求对接外部系统开发,目前正在和外部系统沟通，尚未开始开发；
3）租户合并：
租户合并方案签字。
自动填单整理。
配置事项整理。
复杂数据表，针对表中json字符串数据脚本整理。</t>
  </si>
  <si>
    <t>1、添加剂升级：系统切换上线；期初上线配置； 期初数据处理；
指导并跟进用户补单操作；针对用户进行补充培训；
2、25年优化：
产业链优化以及供应商分类优化功能设计整理；
电商优化ERP端自动收货上线准备以及上线安排；
25年优化上线切换:电商ERP自动收货、寻源优化（市场公开，寻源优化、专家抽取以及超量寻源）、工作台指引、紧急采购&amp;零星采购、年度需求；
3、租户合并：
开发环境测试脚本执行完成检查。
二开功能设计输出与技术评估。
功能迁移整理及提报。
Dev数据迁移脚本执行</t>
  </si>
  <si>
    <t xml:space="preserve">1、添加剂升级：指导并跟进用户补单操作；针对用户进行补充培训；添加剂上线用户支持；添加剂ERP升级项目总体上线配合支持；
2、25年优化：
25年优化上线统一培训:电商ERP自动收货、寻源优化（市场公开，寻源优化、专家抽取以及超量寻源）、工作台指引、紧急采购&amp;零星采购、年度需求；
25年优化上线切换配置调整；
25年优化上线支持；
3、租户合并：
开发环境测试脚本完成检查
开始进行相关配置整理
功能迁移处理
</t>
  </si>
  <si>
    <t>1、添加剂升级：
上线支持，上线问题处理；
期初补录单据跟进； 
交付文档整理；
2、25年优化：
寄售业务京东对接安排；
产业链优化以及供应商分类优化功能设计整理；
SCM附件对接和单点登录验证以及发版；
25年优化上线支持；
3、租户合并：
完成页面个性化、自动填单、业务规则、配置表等配置。
测试验证部分系统功能。
功能迁移处理（第三周），增加技术资源投入。</t>
  </si>
  <si>
    <t>1、添加剂升级：
上线支持，上线问题处理；
期初补录单据跟进； 
交付文档整理；
2、25年优化：
寄售业务京东对接安排；
产业链优化以及供应商分类优化功能设计整理；
25年优化上线支持；
3、租户合并：
验证开发环境功能，调整系统配置。
租户合并OA流程整理与沟通。
功能迁移处理（最后一周），增加技术资源投入，预计下周完成功能迁移。
开始处理因迁移需要做的优化需求（Wbs、付款阶段的统一）。</t>
  </si>
  <si>
    <t>1、添加剂升级：
上线支持，上线问题处理； 
交付文档整理；
添加剂升级转运维安排；
2、25年优化：
寄售业务京东对接安排；
产业链优化以及供应商分类优化功能设计整理；
产业链优化以及供应商分类优化功能设计确认；
25年优化上线支持；
3、租户合并：
完成验证开发环境功能，调整系统配置。
电商商城沟通准备与确认。
新开功能测试与验证。
租户合并测试问题处理。
租户合并接口迁移处理。</t>
  </si>
  <si>
    <t>1、添加剂升级：
上线支持，上线问题处理； 
添加剂升级完成转运维，本周交付和运维并行，下周正式转运维支持；
2、25年优化：
寄售业务京东对接安排；
产业链优化以及供应商分类优化功能设计整理；
产业链优化以及供应商分类优化功能设计确认；
产业链优化开发清单梳理；
25年优化上线支持；
3、租户合并：
检查数据迁移。
完成开发环境数据验证。
配置测试环境系统。
开发环境流程和数据测试问题处理。
配合调整测试（覆盖后）配置项。
配合测试环境流程测试。</t>
  </si>
  <si>
    <t>1、25年优化：
寄售业务京东对接安排；
产业链优化以及供应商分类优化功能设计整理；
产业链优化以及供应商分类优化功能设计确认；
产业链优化开发清单确认；
25年优化上线支持；
SRM上周工作情况汇报如下：
2、租户合并
测试环境数据问题验证。
测试环境脚本测试。
测试环境接口联调测试。
配合测试环境流程测试。
梳理业务配置数据迁移生产的脚本处理。</t>
  </si>
  <si>
    <t>1）按照实施计划开展详细蓝图设计，并开始部分开发工作。
2）项目范围进行了微调，集团重新进行了报价，采购商城报价调整为47.5万</t>
  </si>
  <si>
    <t>1）完成商务谈判，启动立项申请
2）按照实施计划开展开发工作</t>
  </si>
  <si>
    <t>1）实施进度如下：
12月20日采购商城对接进度
蓝图方案：待签字
业务流程文档：待签字
系统集成方案：待签字
功能开发——判断哪些单据同步SRM：开发中，完成80%左右，待接口开发完成做后续20%，完成部分收货控制功能 
接口开发——登录、采购申请接口：联调中                                                                     
生产环境部署：网络策略开通已完成
12月20日风控数据清洗进度进度：
基础表清洗，清洗进度70%
模型表清洗，清洗进度20%
2）领导指示：价格需要进一步谈判，将组织下周进行商务谈判</t>
  </si>
  <si>
    <t>1）实施进度如下：
12月26日采购商城对接进度
蓝图方案，业务流程方案：修改版已发出，待签字，其中如何判断要同步给SRM的单据范围问题已明确。
系统集成方案：已发出待签字
功能开发——判断哪些单据同步SRM：已完成
收货控制、发货等功能待联调
接口开发——登录、采购申请接口：数据可以同步，测试中；审批接口回传测试中。
订单相关确认取消等接口：开发完成，待联调；
生产环境部署：网络策略开通已完成
12月26日风控数据清洗进度：
基础表清洗，清洗进度100%
模型表清洗，清洗进度50%
2）商务谈判：价格需要进一步交流</t>
  </si>
  <si>
    <t>1）按照实施计划开展开发工作：
a.采购商城对接进度：
方案：已确认
本周主要联调接口
联调进度：非erp业务相关接口：已调通并测试
涉及到erp业务：srm内部业务也调整，今天完成收货、取消接口联调；
OA问题已解决
生产环境部署：网络策略开通已完成
测试用例已完成20%
b.风控数据校验进度：
数据校验工作进度80%，已基本完成测试环境数据验证，下周开展生产环境数据验证</t>
  </si>
  <si>
    <t>1)按照实施计划开展开发工作：
a.采购商城对接进度
方案：已确认
所有接口都已联调通，本周主要为测试，目前测试以srm为主，今天主要测试订单推送、结算等业务
生产环境部署：网络策略开通已完成
测试用例已完成
使用手册：已完成
基础数据收集：未开始
b.风控数据校验进度：
数据校验工作进度90%，uat环境搭建完成90%.已基本完成测试环境数据验证，暂未开展生产环境数据验证</t>
  </si>
  <si>
    <t>1)按照实施计划开展
a.采购商城对接进度
已经具备上线条件，在做上线前的准备工作。
风险：集团现有收货方案，不满足用户体验，收货方案待确认
b.风控数据校验进度：
已经部署至生产环境，在做上线前的准备工作。
代办：
集团要求：签署合同后再正式上线</t>
  </si>
  <si>
    <t xml:space="preserve">1）价格还是偏高，继续谈判
</t>
  </si>
  <si>
    <t>1）完成商务谈判，价格为130万</t>
  </si>
  <si>
    <t xml:space="preserve">1）完成立项 </t>
  </si>
  <si>
    <t>法务部已经确认合同条款，今天3/10提交合同审批流程。</t>
  </si>
  <si>
    <t>1）完成合同签署
2)做上线前准备工作</t>
  </si>
  <si>
    <t>1）上线前准备工作，落实用户权限和账号
2）发出了培训通知，3月25日培训</t>
  </si>
  <si>
    <t>1）上线试运行一个月，试运行支持
2）4月21日租户合并研讨
3）基本确认2025年优化工作内容</t>
  </si>
  <si>
    <t>1）试运行正常
2）租户方案第一轮讨论，等待甄云修改</t>
  </si>
  <si>
    <t>1）试运行正常
2）准备租户立项材料</t>
  </si>
  <si>
    <t>1）完成租户方案讨论，等租户和优化方案的报价</t>
  </si>
  <si>
    <t>1）拟定租户和优化方案的立项报告并发领导审核</t>
  </si>
  <si>
    <t>1）需要进一步更新立项报告</t>
  </si>
  <si>
    <t>1）更新立项报告</t>
  </si>
  <si>
    <t>1）汇报立项报告，周三完成价格谈判
2）根据要求更新立项报告</t>
  </si>
  <si>
    <t xml:space="preserve">1）立项完成
</t>
  </si>
  <si>
    <t>1）制定项目计划，供应商已经进场</t>
  </si>
  <si>
    <t>1）部分优化蓝图设计完成，安排开发</t>
  </si>
  <si>
    <t>1）甄云技术总监进场接替张雪梅统筹工作，完成项目计划方案，待下周确认</t>
  </si>
  <si>
    <t>1）甄云明确了新的项目经理，并对项目计划进行了调整
2）功能完成情况如下：
专家抽取功能设计确认；
工作台指引功能设计确认；
年度需求功能设计确认；
供应商分类优化方案整理；
物流集合竞价、电商模块优化开发完成；</t>
  </si>
  <si>
    <t>1、添加剂升级：
1）添加剂升级蓝图签字确认；
2）添加剂升级和SAP接口字段确认（WBS编号、内部订单、物料、物料组、供应商扩展、供应商编码、供应商地点接口同步字段确认）；
3）添加剂现有接口迁移（寻源、基础数据同步迁移完成）；
4）OA接口字段确认（需求、寻源、订单以及合同审批接口）；
5）OA在途数量获取接口开发完成；
2、租户合并
1）租户合并个性化字段梳理完成；
2）租户合并二开功能梳理初版完成；
3、25年优化：
1）物流供应商竞价开发测试完成；
2）电商优化开发基本完成，测试中（涉及与外部系统对接部分，待外部系统响应）；
3）鑫方盛电商平台对接；</t>
  </si>
  <si>
    <t>添加剂升级：
1）现有接口迁移（结算模块接口迁移）；
2）SAP接口（物料、WBS、内部订单号、采购申请接口开发完成，成本中心接口开发中）；
3）OA在途库存数量获取接口开发完成，调试中；
4）SAP接口字段沟通（订单）；
5）采购需求模块功能改造调整；
租户合并
1）租户合并二开功能代码层确认完成；
2）租户合并系统流程差异梳理中；
25年优化：
1）超量寻源功能优化开发完成；
2）电商优化开发基本完成，内部测试完成，待外部系统对接；
3）产业链优化&amp;供应商优化方案初版完成；
4）寻源优化开发中；</t>
  </si>
  <si>
    <t>1、添加剂升级：
1）采购需求提报整体流程测试验证完成（主材包材、备品备件、固定资产、费用化、项目采购）；
2）寻源流程测试验证完成（包括询价单发布审批、寻源结果审批）；
3）SAP接口（订单接口开发、物料组、成本中心、总账科目、）；
4）寄售详细实现方案整理；
5）MRO发票结算功能设计完成待确认；
6）MDM接口对接沟通完成；
2、25年优化：
1）超量寻源功能优化测试完成；
2）紧急、零星采购开发测试完成；
3）工作台指引开发完成，内部测试中；
4）寻源优化开发完成，内部测试中；
5）年度需求功能开发中；
6）产业链优化&amp;供应商优化方案评审中；
3、租户合并：
1）圣奥方案文档梳理完毕，已输出当前业务流程思维导图。
2）结合圣奥生产环境业务，确认当前业务流程是否与方案流程一致
3）测试环境测试圣奥部分订单业务，订单双签业务、父子订单业务。
4）基于南通&amp;圣奥业务梳理订单&amp;合同流程方案。</t>
  </si>
  <si>
    <t>1、添加剂升级：
1）OA接口开发调整（需求接口字段改造、合格供应商、寻源接口改造）；
2）接口迁移（订单确认接口、合同附件上传接口）；
3）SAP接口开发（采购订单接口新增字段、供应商地点、送货单、接收事务、发票同步）；
4）寄售方案汇报确认；
5）MRO发票结算方案确认以及功能设计确认；
6）MDM接口开发（新建、冻结接口）；
7）SAP接口测试（采购订单接口新增字段、供应商地点、送货单、接收事务）
8）电商流程测试；
2、25年优化：
1）寻源优化内部测试完成；
2）年度需求功能开发完成；
3）专家抽取功能开发进行中；
4）产业链优化以及供应商优化方案待评审；
3、租户合并：
1）订单合同方案沟通及确认。
2）订单合同方案沟通功能设计输出。
3）圣奥业务流程测试。</t>
  </si>
  <si>
    <t xml:space="preserve">1、添加剂升级：
1）OA接口开发调整（合同审批、流程关闭接口、需求审批接口）；
2）需求模块接口字段调整开发
3）SAP接口调整（订单接口、发票同步接口）
4）MDM金融机构接口开发完成
5）授信逻辑迁移调整以及测试
6）供应商新建/冻结接口同步MDM接口测试
7）SAP接口测试（采购订单、送货单、接收事务同步、供应商扩展）
8）采购订单整体流程测试
9）父子订单方案梳理以及确认
10）寄售业务对接沟通；
2、25年优化：
1）年度需求测试
2）专家抽取功能开发完成
3）专家抽取功能测试
3、租户合并：
1）国际业务流程现状梳理。
2）国际业务系统流程测试。
3）国际业务现状流程图。
</t>
  </si>
  <si>
    <t>1、添加剂升级：
1）OA审批接口开发调整（流程关闭接口）
2）SAP接口开发（供应商扩展）：接口已经调通，集团级供应商需要进行逻辑改造；
3）父子订单逻辑开发：订单联动逻辑已经完成，物流联动逻辑开发中
4）寄售逻辑开发调整：SRM单据处理逻辑开发中，京东、中控已经沟通可以按照方案进行对接，震坤行需要评估确认走智能柜还是寄售仓；
5）供应商新建/冻结接口同步MDM接口调整测试完成；
6）MDM金融机构接口测试完成；
7）SAP接口测试完成（采购订单、送货单）：采购订单接口还需要增加字段；
8）OA接口联测完成（合格供应商）
9）采购订单整体流程联调测试完成一轮；
10）原有发票结算流程对接新共享联测完成；
2、25年优化：
1）年度需求测试完成；
2）专家抽取功能测试完成；
3、租户合并：
1）扬农业务流程现状梳理。
2）扬农业务系统流程测试。
3）扬农业务现状流程。
4）业务流程ppt整理。
5）业务单号唯一性方案沟通及处理。</t>
  </si>
  <si>
    <t>添加剂升级：
1）供应商扩展同步SAP接口开发调整完成:集团级拓展方案；
2）父子订单逻辑开发：排程联动已开发测试完成；
3）寄售逻辑开发调整：SRM内部逻辑开发完成；
4）电商WMS系统对接沟通：外部对接方案已和中控确认，京东、震坤行下周沟通；
5）OA关闭流程改造测试完成；
6）采购订单联调测试；
7）测试环境用户测试准备；
8）目录化、电商业务流程联调测试；
9）顾问侧全流程系统联调测试；
10）用户操作手册准备；
25年优化：
1）调查表统一模板整理完成；
2）供应商绩效考评管理需求收集完成；
租户合并：
1）基础数据合并梳理及方案。
2）采购申请业务表数据梳理。
3）测试环境数据覆盖dev。
4）业务流程ppt整理。</t>
  </si>
  <si>
    <t>添加剂升级：
1）父子订单开发测试完成；
2）寄售逻辑：中控对接开发中；
3）跟进测试环境用户测试；
4）目录化、电商业务流程联调测试；
5）用户测试问题跟进；
6）用户操作手册准备；
7）添加剂上线基础数据整理；
25年优化：
1）优化需求操作手册整理完成；
租户合并：
1）基础数据合并方案汇报及确认。
2）业务流程方案汇报及确认。
3）测试环境数据覆盖dev。
4）业务流程ppt整理。
5）测试数据覆盖Dev克隆。
6）主数据租户合并脚本整理。</t>
  </si>
  <si>
    <t>添加剂升级：
1)父子订单用户测试完成；
2)寄售逻辑：中控对接开发完成，联调测试中；
3)跟进用户完成第三轮测试；
4)目录化、电商业务流程联调测试；
5)用户测试问题跟进；
6)用户操作手册补充；
7)添加剂上线数据切换沟通以及整理；
8)S4单据编号问题处理；
9)SAP付款数据、基础数据同步接口测试调整；
10)电商自动收货同步ERP接口开发测试；
25年优化：
1)优化内容培训添加剂用户；
2)跟进添加剂用户测试优化需求；
3)跟进优化需求对接外部系统开发；
租户合并：
1)租户合并保留功能跟二开功能沟通。
2)接口方案整理。
3)二开功能人天方案评估。
4)测试数据覆盖Dev。
5)主数据租户合并脚本完善。
6)采购申请租户合并脚本整理。</t>
  </si>
  <si>
    <t>1、上线策略讨论和确定；权限策略确定和数据收集；
2、正式系统部署和出差计划安排；
3、司库联合测试；
项目严重问题提示：司库原定建行测试系统打通测试，最终没有实现，无法确定司库的直连是否正常；司库的票据批量处理只做了建行票据的批量转让功能；用户明确表示上线风险大，不满足上线条件，已经让用户提交综合报告以便提级；</t>
  </si>
  <si>
    <t>1）添加剂升级：
集团电商测试问题处理；
用户测试优化问题开发完成，测试中；
添加剂上线数据切换沟通确认；
S4单据编号问题处理完成；
SAP付款数据、基础数据同步接口测试调整，基础数据已经基本开发完成，付款结果以及汇率同步接口还未联调测试完成，待SAP进行接口开发；
电商自动收货同步ERP接口开发完成，测试中；
添加剂上线期初数据收集中，待用户反馈数据；
寄售业务流程联调测试中；
2）25年优化：
产业链优化以及供应商优化方案沟通确认，功能设计中；
添加剂用户测试优化需求反馈沟通完成；
跟进优化需求对接外部系统开发；
SCM方案沟通完成，待开发；
调查表模板沟通完成，待用户进行确认；
供应商履约评价模板沟通完成，待用户整理模板指标；
电商优化上线沟通，暂定先上线SRM端自动收货，ERP端自动收货和添加剂一起上线；
3）租户合并：
租户合并二开功能调整方案沟通与确认。
外部系统接口安排事项输出与确认。
输出测试脚本。
供应商&amp;商城&amp;寻源数据合并脚本整理。</t>
  </si>
  <si>
    <t xml:space="preserve">添加剂升级：
1、寄售业务（中控）测试完成，并完成培训；
SAP付款记录对接、调整、测试完成； 
上线期初数据处理脚本整理以及验证完成；
SRM系统上线期初数据收集；
期初供应商数据整理，经沟通，需要补充的供应商主要为项目类或工程类供应商，不影响本次上线，根据用户提供数据情况进行期初导入；
期初供应商供货能力整理完成；
2、25年优化：
产业链优化以及供应商优化方案功能设计中；
电商优化SRM系统针对报销类自动收货需求上线完成；
SCM商务招标对接开发中；
调查表模板沟通完成，待用户进行确认；
供应商履约评价模板沟通完成，待用户整理模板指标；
电商优化ERP端自动收货计划和添加剂一起上线；
25年优化上线切换准备：电商ERP自动收货、寻源优化（市场公开，寻源优化、专家抽取以及超量寻源）、工作台指引、紧急采购&amp;零星采购、年度需求；
3、租户合并：
自动填单整理。
配置事项整理。
开发环境自动填单配置。
复杂数据表，针对表中json字符串数据脚本整理。
</t>
  </si>
  <si>
    <t>1、添加剂升级：系统切换上线；期初上线配置； 期初数据处理；
指导并跟进用户补单操作；针对用户进行补充培训；
2、25年优化：
产业链优化以及供应商分类优化功能设计整理；
电商优化ERP端自动收货上线准备以及上线安排；
25年优化上线切换:电商ERP自动收货、寻源优化（市场公开，寻源优化、专家抽取以及超量寻源）、工作台指引、紧急采购&amp;零星采购、年度需求；
3、租户合并：
开发环境测试脚本执行检查
二开功能设计输出与技术评估
功能迁移整理及提报</t>
  </si>
  <si>
    <t>1、添加剂升级：
上线支持，上线问题处理；
期初补录单据跟进； 
交付文档整理；
2、25年优化：
产业链优化以及供应商优化方案功能设计中；
25年深度优化上线配置完成；
SCM生产环境发版完成，还有附件对接和单点登录计划下周上线；
SCM对接SRM培训；
25年深度优化上线培训；
25年深度优化上线支持；
3、租户合并：
开发环境测试脚本完成检查。
开始进行相关配置整理。
功能迁移处理。</t>
  </si>
  <si>
    <t>1、添加剂升级：
上线支持，上线问题处理；
项目类培训以及单据补录培训； 
子公司报销类业务沟通，并确认未来子公司报销类业务仍然放在OA走流程；
交付文档整理；
2、25年优化：
产业链优化以及供应商优化方案功能设计中；
SCM生产环境发版完成，还有附件对接和单点登录上线完成；
25年深度优化上线支持；
3、租户合并：
完成页面个性化、自动填单、业务规则等配置。
测试验证部分系统功能。
功能迁移处理（第三周），增加技术资源投入。</t>
  </si>
  <si>
    <t xml:space="preserve">1、添加剂升级：
上线支持，上线问题处理；
期初补录单据跟进； 
交付文档整理；
2、25年优化：
产业链优化以及供应商分类优化功能设计整理；
产业链优化以及供应商分类优化开发清单整理；
25年优化上线支持；
3、租户合并：
验证开发环境功能，调整系统配置。【进行中】。
租户合并OA流程整理与沟通、基础数据整理与确认。
功能迁移处理（最后一周），增加技术资源投入，完成功能迁移。
开始处理因迁移需要做的优化需求（Wbs、付款阶段的统一）。
</t>
  </si>
  <si>
    <t>1、添加剂升级：
上线支持，上线问题处理；
交付文档整理；
添加剂升级转运维安排；
2、25年优化：
寄售业务京东对接安排；
产业链优化以及供应商分类优化功能设计整理；
产业链优化以及供应商分类优化功能设计确认；
25年优化上线支持；
3、租户合并：
完成验证开发环境功能，调整系统配置。
电商商城沟通准备与确认。
新开功能测试与验证。
联调测试数据准备。
完成接口迁移。
将生产系统数据覆盖测试系统。
开发环境流程和数据测试问题处理。</t>
  </si>
  <si>
    <t>1、添加剂升级：
添加剂上线完成转运维；
2、25年优化：
寄售业务京东对接安排；
产业链优化以及供应商分类优化功能设计整理；
产业链优化以及供应商分类优化功能设计确认；
产业链优化开发清单梳理完成，待确认；
25年优化上线支持；
3、租户合并
检查数据迁移。
完成开发环境数据验证。
测试检查测试环境数据迁移。
配置测试环境系统。
测试数据准备。
配合调整测试（覆盖后）配置项。
配合测试环境流程测试。</t>
  </si>
  <si>
    <t>添加剂ERP升级</t>
  </si>
  <si>
    <t>彭静</t>
  </si>
  <si>
    <t>跟进财司票据事项；集团蓝图需要审核</t>
  </si>
  <si>
    <t>1、完成立项审批
 2、完成招标准备工作，进入招标流程 
3、项目开始准备工作，例如项目组织确定等</t>
  </si>
  <si>
    <t>1、完成招标流程
2、敦促中化信息完成软硬件部署相关事宜
3、项目启动会议相关准备</t>
  </si>
  <si>
    <t>1、准备项目合同事宜，含中化国际同石化盈科合同、中化国际同圣奥合同；
2、安排主数据宣贯培训
3、评定BTP平台应用 
4、同集团数字化中心对接项目事宜
5、项目准备事宜，确定各周边系统实施方案和计划、项目组成员等，召集动员大会，安排具体计划
6.  继续跟踪软硬件部署事宜；</t>
  </si>
  <si>
    <t>1、项目准备工作，项目组织、工作地点、人员权限后勤等相关工作；
2、启动会议准备及召开启动会议；
3、开启项目调研工作
4、相关合同准备；</t>
  </si>
  <si>
    <t>1、召开项目启动会议
2、按计划开展项目调研
3、培训：S4升级功能培训
4、项目准备：VPN权限和网络事宜
5、相关合同事宜：ERP合同、HFM报表合并改造、添加剂总体合同、保密协议等</t>
  </si>
  <si>
    <t>1、按双周计划做项目调研并总结调整
2、周例会
3、完善项目管理工作
4、跟踪项目相关合同进展
5、BTP沟通与决定</t>
  </si>
  <si>
    <t>1、未来流程和系统功能定位规划；
2、部分专题讨论；
3、项目合同情况跟踪；</t>
  </si>
  <si>
    <t>1、未来流程和系统功能定位规划；
2、部分专题讨论；关联交易、支付平台、BOM扁平化与MRP专题方案编制与计讨论、公用工程、泰国财务需求确认；
3、项目合同情况跟踪；</t>
  </si>
  <si>
    <t>1、现状调研报告完善和确认，专题讨论
2、蓝图讨论和流程绘制；
3、合同情况跟踪；</t>
  </si>
  <si>
    <t>1、现状调研报告完善和确认，目前四个模块的文档已经完成；
2、蓝图讨论和流程绘制；
3、合同情况跟踪；</t>
  </si>
  <si>
    <t>1、现状调研报告签字确认；
2、蓝图讨论与绘制；
3、MENDIX使用验证：供应商会继续给一个反馈，继续有一个功能答疑；
4、合同跟踪；</t>
  </si>
  <si>
    <t>1、继续蓝图工作和专题讨论；
2、MENDIX验证：1）和Mendix供应商约了本周二进行答疑解惑2）根据应用场景，约业务同事讨论可行性，确定本次mendix开发实施项目。
3）确定开发方向后，进行具体开发工作</t>
  </si>
  <si>
    <t>1、各模块蓝图确认，进一步就生产排程和出库流程确认完成方案；
2、MENDIX：已确认mendix和SAP的接口方式为直连，需要学习SAP-ODATA接口发布和实施及CDS View的使用。
3、跟踪相关问题和测试环境准备事宜</t>
  </si>
  <si>
    <t>1、完成各模块蓝图确认；组织总部职能部门确认工作；
2、联系SAP做配置检查；
3、AOP计划周二入场，需协调入场后工作安排
4、MENDIX：持续开发中，初步了解SAP中CDS view及Odata接口直联的开发，争取完成1~2个简单应用场景的开发。
5、跟踪测试和正式环境搭建情况</t>
  </si>
  <si>
    <t>1、FICO模块：基于工作中心优化架构下的生产成本中心确定；进行资产模块培训与单元测试；开始与共享对接总账过账接口及主数据推送接口；随业务测试开展调试并持续优化增强替代。
PP模块：蓝图签字；BOM、工作中心收集与确定；生产主数据批导工具FS编写。
MM模块：泰国到货AOP功能设计、系统配置、单元测试流程时间安排、主数据/采购申请/采购订单FS编写。
SD模块：ERP组织与各外围系统明确关键字段清单、开发清单、单元测试计划；SD模块业务蓝图流程汇报；SD组内讨论系统配置清单并对确认内容进行系统配置；
2、尝试在mendix发布接口供其他系统调用；调用复杂查询接口（销售订单抬头+订单项目+自定义补充信息）多层级数据；
调用sap接口实现修改，创建，删除功能调用（调用标准BAPI）
3、持续跟踪AOP和WMS进展状态</t>
  </si>
  <si>
    <t>1、FICO模块：继续推进行共享接口开发联调；配置文档编制；海波龙数据衔接及测试详细方案确定；清账功能及凭证导入功能开发完成；配合PP进度进行成本相关测试。
PP模块：和AOP联测月度计划的创建和变更；MRP功能单元测试。
MM模块：泰国特殊计量单位沟通；泰国本地采购MRO类物资编码清理宣贯；移动类型确认配置；完成配置手册编写；物料主数据分发、供应商主数据分发、采购申请创建FS编写；IEAM主数据字段对接。
SD模块： 销售模块蓝图签字；与CRM客户主数据、销售订单FS编写及接口对接；销售模块系统配置及顾问单元测试；与共享对接销售发票接口字段。
2、跟踪WMS进场状态
3、MENDIX：完成mendix使用学习报告，结合mendix+sap使用的实施场景列举优缺点及推广性;和在华确定实际需求，需要业务同事参与到程序设计</t>
  </si>
  <si>
    <t>1、FICO模块：与海波龙源数据技术对接；配置文档完成；外币评估增强功能测试；开始对接付款平台接口；继续配合PP开展生产成本相关测试。
PP模块：物料采购需求计划提SAP和SRM联动单元测试；生产排产功能的单元测试。
MM模块：采购申请开发联调测试；物料主数据、供应商主数据联调测试。WMS/AOP/财务共享接口字段对接。
SD模块：组织销售模块关键用户进行D系统单元测试；与ERP开发顾问对接销售订单接口开发；发货单接口FS编写；蓝图WORD文档签署。
2、MENDIX：同业务同事确定实际需求，物料扩展进入开发阶段，确定页面样式，确认所需功能点。
3、计划本周开始对外围系统的计划完成情况做按天的跟踪，如果有延迟，将督促相关小组的协作和加班</t>
  </si>
  <si>
    <t>1、FICO模块：付款平台改造并对接付款平台接口；海波龙接口开发、验证未清项数据及6月交易数据准备；启动与MDM对接工作；继续与生产协同相关成本测试，完成SA04工厂成本月结；继续与销售协同获利相关测试；开始准备资产操作手册。
PP模块：测试采购计划审批及传SRM功能优化情况；AOP动态平衡表及排产功能的测试；采购需求变更业务的的测试脚本编写及测试数据准备；和财务模块一起测试生产订单成本结算。
MM模块：完成与WMS相关接口的对接；完成财务共享相关接口字段的调整确认；完成采购订单创建接口的开发和联调；完成收发货过账接口字段的核对和程序开发；与MDM的对接物料主数据、供应商主数据；对蓝图汇报时提出的关税等应该维护到采购订单的附加费进行专项讨论；WMS/AOP/财务共享接口字段对接。
SD模块：销售模块主数据类接口卡片编写，开展主数据接口对接；编写交货单、主数据接口FS；组织销售模块关键用户进行D系统单元测试；销售模块与ERP开发顾问对接交货单接口开发；销售订单接口顾问自测及与对应外围系统联调测试；销售模块主数据类接口卡片编写及与对应外围系统确认；蓝图WORD文档签署。
2、MENDIX：细化工作清单：需要多少基础数据接口，需创建什么数据实体，创建什么交互页面等
作业明确分工：需保证我和黄云同时能接触并实操medix操作及sap接口
统一命名规则，约定代码同步时间，目前暂用一套SVN进行代码同步
3、同SAP协商lisence报价</t>
  </si>
  <si>
    <t>1.FICO模块：付款平台功能继续改造，在OA端条件具备下完成资金计划推送；对共享新增的会计科目接口开发完成；续整理海波龙验证数据，将5月往来数据准备好并导入系统；HFM关联交易数据主动取数接口完成；继续与生产协同相关成本测试，完成SA04工厂成本月结及SA02工厂的成本估算等准备工作。
PP模块：SA02某月全套数据测试（生产订单、发料、发货、报工，公用工程 平衡）；继续完成包装码主数据的收集；MRP采购计划发OA审批的测试；采购需求变更的单元测试；AOP动态平衡表测试；WMS收发货接口联调。
MM模块：供应与需求计划单元测试脚本准备；交货单分发AOP/WMS接口开发；采购订单分发CDS/WMS/财务共享接口开发；物料凭证分发CDS/SRM/财务共享接口开发；发票校验、发票预制、发票过账、发票模拟接口开发。
SD模块：组织CRM、CDS完成销售订单的接口联调；组织CRM、AOP进行发货通知单接口联调；继续编写与WMS/共享系统接口FS；组织各外围系统编写业务流程测试脚本；继续组织关键用户进行单元测试；开票平台FS编写及与内部顾问对接。
2、MENDIX:继续Mendix+Odata开发工作，物料基本信息修改页面展示-李晶玮
物料工厂信息修改页面工厂层信息扩展-黄云</t>
  </si>
  <si>
    <t>1、FICO模块：付款平台功能继续改造，完成OA单据推送及影像上传接口，并完成预算单功能改造；与MDM相关的财务数据接口，完成SAP端开发；继续推进后勤相关的替代校验；组织5家生产工厂成本用户到上海集中测试；完成泰国预扣税相关操作文档；准备好海波龙验证数据。
PP模块：生产订单自动批量报工测试；配合财务用户测试生产订单成本及月结；物料采购计划传OA审批功能测试；物料采购计划传SRM接口测试。
MM模块：完成单元测试脚本准备；完成发票校验、发票过账、发票模拟接口开发；完成发票预制测试；；预计开始采购收货、领退料等业务测试。
SD模块：完成CDS与ERP销售订单接口联调；组织WMS与ERP交货单接口联调；开票平台功能、接口测试；组织各外围系统编写业务流程测试脚本；继续组织关键用户进行单元测试；编写主数据、业务主数据接口分发FS；编写汇率确定增强、运费发票预制程序、运费计提FS。
2、mendix：参加SAP-BPT研讨会，Mendix交流会
继续研究审批工作流在Mendix中的应用及实现</t>
  </si>
  <si>
    <t xml:space="preserve">1、FICO模块：与档案系统相关的财务数据接口，完成SAP端开发与MDM相关的财务数据接口，完成SAP端开发，付款平台功能持续改造中，完成与共享单据推送，并处理授信标识及备品备件汇总行项目处理，继续推进后勤相关的替代校验。银行对账功能测试并确认期初未达账项的处理，付款平台与OA、共享联调测试，准备并核对海波龙验证数据。
PP模块：完成单元测试脚本编制，准备集成测试场景和脚本，准备集成测试物料、BOM清单数据。
MM模块：与WMS完成收发货接口的测试，与共享完成发票过账就、发票取消接口的测试，与CDS完成采购预算占用接口的测试，与TMS完成销售运费接口的测试，与MDM完成物料、供应商主数据的测试，完成采购及收货业务单元测试。
SD模块：交货单批量POD确认功能测试及与CRM系统接口分发联调，WMS与ERP交货单冲销接口联调，开票平台功能、接口测试，编写泰国形式发票、packinglist打印FS，继续组织关键用户进行单元测试，客户主数据接口FS编写及测试，编写运费计提FS，编写批量开票功能程序FS，与OA/共享开票申请接口测试。
2、mendix：开发Odata物料数据修改接口；继续完善权限审批工作流
3、准备集成测试脚本；
</t>
  </si>
  <si>
    <t>1、开发系统切换到Q系统、准备测试数据，各系统顾问联测并用户培训，具体如下：FICO模块：付款平台功能扩大测试并调整相关功能，完成与档案系统相关的联调测试，支持HFM数据相关功能调整，继续推进后勤相关的替代校验。准备QAS系统，展开第一轮集成测试。
PP模块：测试物料需求计划提报OA审批完成返回接口，测试WMS生产订单收、发过账接口，初始化测试系统，批导集成测试数据执行第一轮集成测试。
MM模块：集成测试数据准备，顾问集成测试，关键用户培训，采购报表相关FS编写。
SD模块：SAP测试环境配置传输及检查，SAP测试环境静态数据准备，组织关键用户进行测试系统培训，包括：订单集成、发货及运输集成，开票集成，记录测试系统关键用户培训、顾问集成测试中问题并处理，批量开票功能、泰国形式发票、packinglist打印测试，与CDS/共享系统客户主数据分发联调测试。
2、MENDIX：Mendix针对没有业务接口都需要单独引入
设计开发公用的Odata接口支持多个接口
根据细化需求继续完善权限工作流及页面</t>
  </si>
  <si>
    <t>1、组织关键用户测试及测试问题调整工作</t>
  </si>
  <si>
    <t>计划完成关键用户第二轮测试、完成授信专题测试；完成测试问题调整</t>
  </si>
  <si>
    <t>主要工作：计划完成权限设定、用户手册编写、支付和HFM测试，详细如下：FICO模块：权限检查相关代码调整，HFM数据相关功能调整，继续推进后勤相关的替代校验调整。获利能力分析报表配置与测试，集成凭证检查并调整相关替代校验内容，权限设计与测试。
PP模块：第四轮集成测试，并进行最终用户培训；权限设计及最终用户清单及权限收集；生产模块上线切换计划讨论并确定。
MM模块：切换策略宣贯；出入库单打印报表/库龄报表迁移调整；采购执行报表开发；期初数据收集模板整理。
SD模块：支持用户第四轮集成测试并解决集成测试问题；完成泰国形式发票、pickinglist打印测试；组织关键用户编写操作手册；组织关键用户进行权限测试；编写SD模块及相关外围系统(CRM/CDS)上线切换详细方案；SD模块报表开发及测试。</t>
  </si>
  <si>
    <t>1、关键用户培训；
2、正式系统部署；
3、权限整理；</t>
  </si>
  <si>
    <t>1、上线准备：正式系统静态准备、上线程序测试；
2、最终用户补充测试和细节调整；
3、动态数据准备：处理应付暂付数据</t>
  </si>
  <si>
    <t>1、FICO模块：完成物料财务视图、客商财务视图导入，并最终比较各公司挂账往来单位与导入数据的一致性；动态数据，各企业资产数据提交，外围系统接口及数据；计划OA、共享系统连通；共享系统主数据推送；权限设计与分配：导入权限到生产系统并分配用户，系统开发，付款平台相关补充功能开发，其他报表开发。
PP模块：生产主数据收集、整理、新旧码整理；包装码与物料码的对应表整理。
MM模块：物料主数据业务视图收集导入；供应商主数据组织数据收集导入；未清采购订单补录；未清应付暂估数据收集整理。
SD模块：组织用户进行CDS全流程再次测试；审核并完善最终用户操作手册；组织工厂销售支持在做一轮销售开票培训及测试；SD模块报表测试及完善；SAP生产系统与CRM/CDS/WMS生产系统接口联通性测试。</t>
  </si>
  <si>
    <t>上线支持，上线问题处理；</t>
  </si>
  <si>
    <t>FICO模块：计划完成海波龙报表数据初始化核对。后勤业务与共享业务的结果检查与确认。权限调整，支持用户权限调整与优化，付款平台业务，支持新旧系统间的衔接问题，解决用户提出的其他问题。
PP模块：上线后用户问题收集及处理，根据上线问题情况，安排针对性的培训，知识转移文档的整理与交接。
MM模块：上线问题处理。
SD模块：生产机将国内未清业务单据补录完成并核对，生产机库存开账后，补录销售出库过账，上线后支持，收集问题并解决对应问题。</t>
  </si>
  <si>
    <t>1、持续支持和解决系统问题；
财务：1）权限调整，支持用户权限调整与优化；
2）报表相关问题处理；
3）解决用户提出的其他问题；
PP:1)上线后用户问题收集及处理
2)根据上线问题情况，安排针对性的培训
3)知识转移文档的整理与交接
MM:1)交接材料准备
2)采购运费结算报表推送TMS
3)上线问题处理
SD:1)上线后支持，收集问题并解决对应问题
2)整理SD模块项目知识传递文档
2、HMF报表交用户开始确认</t>
  </si>
  <si>
    <t>1、持续支持和解决系统问题；
2、逐步开展系统交接培训
3、准备月结支持</t>
  </si>
  <si>
    <t>1、持续支持和解决系统问题；
2、逐步开展系统交接培训
3、月结支持</t>
  </si>
  <si>
    <t>1、完成供应商第二轮沟通  
2、完成添加剂事业部关于项目的沟通 
3、完成总部和添加剂事业部立项申请的提交
4、同中化商务做招标工作的准备</t>
  </si>
  <si>
    <t xml:space="preserve">1、完成立项审批
 2、准备招标书并发给中化商务，进入招标流程 
</t>
  </si>
  <si>
    <t xml:space="preserve">1、完成项目招标流程，确定供应商为石化盈科
2、与中化信息就软硬件事宜沟通，确认6月15日前完成测试系统搭建，7月15日前尽量完成正式系统搭建；
</t>
  </si>
  <si>
    <t>1、项目准备：进一步考察BTP平台；准备启动会议资料及确定项目计划；项目人员网络权限及项目场所准备；周边系统及项目顾问首次沟通会议；内部项目相关目标和周边系统定位会议；
2、培训：主数据宣贯培训；ERP技术及fiori培训；
3、合同事宜：S4硬件合同签署；HFM报表合并和关联交易平台改造合同；
存在问题：1）项目顾问没有到位，乙方提供的项目计划需要进一步细化，目前暂定5月6号下午明确；时间较紧张；2）项目存在一些不确定因素，例如BTP平台的使用、AOP平台定位、369滚动预测系统选型，司库对接；以上需要在5月底有比较明确的决议；</t>
  </si>
  <si>
    <t xml:space="preserve">1、项目准备：进一步考察BTP平台；准备启动会议资料及确定项目计划；项目人员网络权限及项目场所准备；周边系统及项目顾问首次沟通会议；内部项目相关目标和周边系统定位会议；
2、培训：主数据宣贯培训；ERP技术及fiori培训；
3、合同事宜：S4硬件合同签署；HFM报表合并和关联交易平台改造合同；
存在问题：1）项目顾问没有到位，乙方提供的项目计划需要进一步细化，目前暂定5月6号下午明确；时间较紧张；2）项目存在一些不确定因素，例如BTP平台的使用、AOP平台定位、369滚动预测系统选型，司库对接；以上需要在5月底有比较明确的决议；
</t>
  </si>
  <si>
    <t>1、召开项目启动会议
2、排定双周计划和按计划开展项目调研
3、培训：S4升级功能培训
4、项目准备：VPN权限和网络事宜
5、项目文档模板、项目管理相关问题沟通</t>
  </si>
  <si>
    <t>1、现状调研
2、周例会；完善项目管理工作
3、跟踪项目相关合同进展
4、BTP沟通与决定</t>
  </si>
  <si>
    <t>1、本周工作：项目组近期持续推进项目实施工作，重点围绕现状调研与方案设计开展：已完成开发系统环境准备、业务流程清单梳理及外围系统调研等基础工作，并形成现场调研报告初稿；针对海波龙系统、关联交易及物资批次库存状态等关键领域进行了专项补充调研；同时已组织业务顾问完成整体解决方案设计初稿的内部讨论，计划本周末修订完善后正式提交项目组审议。
2、项目问题：1）目前FICO、PP、开发小组的工作在正常开展，MM顾问组长一直没到位，SD和MM模块现状调研成果可视为无效，记录非常不清楚，SD顾问调研工作存在没有全局结构性，流程调研不清；2）虽多次提出会议纪要的问题，目前只收到一份会议纪要，初稿完全不合格，更改后发出；3）双周计划延迟，项目完全没有进入正轨；
问题改进：1）MM模块顾问乙方承诺27日到位，张巾协管MM和PP ；SD顾问乙方承诺端午节后第一周加入新顾问；
3、硬件环境准备：沙箱和开发系统准备到位，开发系统已经完成后PO对接基础配置；
4、合同跟踪：已经完成HFM和关联交易合同、中化信息硬件合同；准备中：石化盈科合同、添加剂整体项目合同；</t>
  </si>
  <si>
    <t xml:space="preserve">1、PP模块完成按产品产出重量报工、PP_BOM及MRP优化、公用工程整体平衡专题方案；SD模块完成关联交易销售部分的实现方案讨论以及关联交易采购部分的实现方案；MM模块完成采购及仓储组织架构及系统实现以及前置仓流程补充调研、寄售模式可行性讨论；完成技术组内部宣贯开发规范文档；完成36个通用程序迁移。
2、专题讨论；
</t>
  </si>
  <si>
    <t>1、FICO模块完成按银行对账单功能、付款平台与销售相关功能优化以及应收应付自动清账等功能讨论。PP模块完成即自制又外购物料、来料加工物料、保税物料物料编码专题方案。MM模块完成需求提报归口系统、特殊采购业务、公司间采购业务等专题方案。SD模块完成销售业务流程清单讨论和确认；
2、外围系统定位基本完成；</t>
  </si>
  <si>
    <t>1、FICO模块完成财务开发清单讨论及确认、新旧会计科目及成本中心对照及辅助核算应用讨论。PP模块完成BOM、配方、生产版本、月度生产计划流程图编制和讨论，MM模块完成了WMS系统功能沟通、物料管理模块未来流程梳理、寄售方案讨论确定、MRO类物资采购及库存管理专题讨论、批次管理专题讨论以及公司间交易方案部分确认，SD模块完成了与CRM、CDS流程对接及讨论。
2、存在问题：1）因物料主数据的合并，需要各模块整体就未来流程中信息流转（批次、包装信息、防护信息）、物流安排、成本核算整理清楚并同用户核实 2）各模块在流程整理时，需要注意避免出现一个流程在多系统中割裂拆分的情况
3、MENDIX的使用验证：截至周四，供应商就主数据应用场景的demo做演示，同我们的需求有差距，供应商进一步调整中；供应商提供了DEMO的技术文件，内部顾问在研究中，因为供应商为快速相应，大量引用了别的项目的类，研究的过程比较慢
4、完成同添加剂内部的合同审批；完成中化信息硬件合同的第一笔支付</t>
  </si>
  <si>
    <t>1、各模块基本完成现状调研报告的签收；
2、蓝图工作开展情况：财务：流程图初版本周都已经过了一轮，下周在和用户做财务蓝图的整体汇报，然后发出来所有的蓝图文档给用户确认；
销售SD：本周收了一版用户绘制的流程图，基本都不对，SD问题比较大，顾问工作方式和能力存在较大问题；预计延迟；
MM模块：MM仓储流程已经全部完成，采购流程存在个别流程需要调整，总体已经画完，上周也和采购仓储初步过了一遍，这周继续和用户一起确认；
生产模块：pp流程清单讨论完成，流程绘制90%完成；
3、MENDIX验证：1）整理Mendix学习中的遇到的问题，并预约了外部资源进行沟通。2）整理应用场景，解析各场景使用mendix进行开发的有优缺点及请教专业团队建议
4、合同情况：石化盈科合同双签中，圣奥的合同双签中</t>
  </si>
  <si>
    <t>1、FICO模块完成蓝图汇报；PP模块完成蓝图流程第二次讨论；MM模块完成蓝图流程讨论；SD模块流程图二次提交依然不合格；本周就货物出厂管理和物料信息全流程流转做了讨论，形成初步意见，待下周同AOP和WMS以及武总做进一步沟通；
2、MENDIX验证：按领导要求，深化对软件的了解，进行简单程序开发工作。
在开发过程遇到的问题及时与外部资源需求技术支持。
3、问题：1）员工供应商管理流程缺失：当前手工在ERP系统维护员工供应商主数据不合规，由财务共享团队牵头设计员工供应商维护落地方案；
2）SRM/OA系统支付流程冲突：同一物料组在不同公司对应不同支付系统（报销/SAP），需专题会议统一规则现状调研报告。
3）SRM系统租户合并与添加剂上线时间重叠，建议优先完成租户合并再部署添加剂功能。
4）CDS系统信创环境迁移需在11月上线前提前完成，避免与ERP部署冲突</t>
  </si>
  <si>
    <t>1.蓝图情况：FICO模块完成蓝图汇报；PP模块完成蓝图流程第二次讨论；MM模块完成蓝图流程讨论；SD模块蓝图待完善和进一步确认（延迟于计划）；
2、完成AOP、WMS的第一轮沟通；
3、MENDIX：初步搭建了mendix的门户风格，按主任要求先确认几个简单可上手的案列进行开发，之后进一步评估软件可应用性。
4、跟踪测试和正式环境搭建；</t>
  </si>
  <si>
    <t xml:space="preserve">1、各模块进展：FICO模块：成本配置完成；统一辅助核算及事业部辅助核算校验已布署完成；外币业务测试及银行业务测试完成资产业务测试完成并准备资产培训事宜。
PP模块：生产模块蓝图汇报；系统配置及配置文档编写；与AOP，WMS讨论其系统功能规划。
MM模块：蓝图报告WORD版编写、配置清单准备、国内到货AOP功能规划、采购组织/库存地点/付款申请集团赋码、IEAM需求讲解； 
SD模块：参与CDS、AOP、WMS、CRM专题讨论会议，明确了各系统间接口流向；SD组内完善蓝图流程图；
2、MENDIX：在Mendix创建2个数据同步接口，在mendix界面进行展示。
和外部同事探讨多人员同步开发的方案，目前用SVN方式同步，已经会互相锁定导致无法更新。
3、AOP已近入场开展工作，进一步确认细节；WMS确认大流程需求，下一步进入商务阶段和细节；
</t>
  </si>
  <si>
    <t xml:space="preserve">1.FICO模块：资产模块培训与测试；共享过账接口、主数据接口SAP端、PO处理；海波龙数据接口功能说明书提交。
PP模块：生产模块蓝图签字；生产主数据（BOM、配方、工作中心、生产版本）的单元测试。
MM模块：完成泰国AOP/WMS收货功能沟通；完成基本系统配置；完成MM单元测试时间安排；采购定价增强、物料主数据创建接口、采购订单字段增强、物料主数据字段增强FS编写；完成物料主数据、供应商主数据、内部订单、成本中心、WBS、采购申请与OA/SRM字段核对。
SD模块：销售模块蓝图流程评审，所有待定问题全部解决；完成与CRM客户主数据、销售订单、发货通知单核心字段讨论及确定；暂估&amp;结算出口运输险、佣金方案讨论及确认；系统配置清单梳理及接口枚举值梳理；接口开发清单确认。
2、MENDIX：创建Deep接口供mendix使用，该接口可是适合90%的接口场景
尝试mendix各类控件，为实际应用做准备
</t>
  </si>
  <si>
    <t>1.FICO模块：完成共享主数据分发接口及总账过账接口开发与测试；完成海波龙源数据SAP端开发；讨论确认海波龙在期初切换数据准备规范及原则；完成三个工厂作业价格维护及泰安工厂价格估算。
PP模块：生产模块SAP内流程单元测试（生产主数据如BOM、配方、工作中心、生产版本流程单元测试，MRP功能测试）；跨系统的流程接口和功能测试（月度生产计划）；主数据收集（5个生产工厂的工作中心，BOM数据收集) 。
MM模块：化工事业部蓝图汇报答疑；完成初版移动类型和自动记账的梳理；完成配置手册编写；完成物料主数据增强、分发、批导的开发。
SD模块：完善蓝图汇报ppt，word文档；完成系统配置，进行顾问系统单元测试；与CRM/AOP/共享对接接口数量、内容、方式；SD单元测试脚本编写，目前完成60%；信用汇差专项内容讨论。
2、MENDIX：完成mendix体验分析报告，之后和黄云同步后给相关领导进行汇报,同在华确定基本需求，参考化工事业部界面了解物料扩展流程
3、外围系统：AOP进度有延迟，需加强</t>
  </si>
  <si>
    <t xml:space="preserve">1、FICO模块：完成海波龙报表接口对接并进入开发阶段，验证数据已准备好BAL、CF数据；与共享的主数据接口对接完成，并提供手动发送的功能；完成司库银行流水接口及余额查询接口；与后勤业务相关的校验与替代启用并调试；完成本地化 现金流量表与资产负债表配置；完成成本中心相关的费用处理、循环创建；完成销售开票相关的获利数据的测试。
PP模块：公用工程整体平衡单元测试；MRP功能测试，包括生产订单驱动和安全库存驱动；完成AOP动态平衡表计算、月度生产计划、生产排产、工单收发货业务逻辑的梳理和控制逻辑的梳理；完成采购计划提报审批及SRM接口字段的第二轮优化及控制逻辑的优化。
MM模块：物料主数据分发已完成初步测试联通；采购申请SRM到SAP的接口已测试联通；完成与财务共享初版的接口对接；WMS相关接口已完成整理，目前完成物料主数据接口的核对，其他接口待下周与WMS逐个核对。
SD模块：更新蓝图word文档中需求项的提出人和答复；完成销售模块与CRM接口卡片的确认，CRM下周三前更新完成接口字段映射；销售模块下发与WMS接口卡片文档，WMS调研后会在线更新接口卡片映射字段；完成SD模块自定义字段、自定义表、销售订单创建、修改接口FS的编写，开发顾问正在开发中；完成销售模块单元测试脚本编写；完成销售模块配置手册编写。
2、MENDIX：同在华确定基本需求，参考化工事业部界审批界面。
确定操作界面，用户选择工厂信息，对应一次性可扩展多个物料信息。
了解SAP物料扩展机制，一次只支持一个物料扩展，需要从技术角度分析从哪端系统做循环处理。
</t>
  </si>
  <si>
    <t>1、FICO模块：付款平台功能持续改造中，功能界面已与OA、共享对接，基本确定；完成ERP与OA资金计划与付款申请接口对接，PO布署完成，开始进入调试阶段；完成ERP与共享付款申请接口对接，进入开发阶段；海波龙接口全部调试完成，数据同步到相关数据表，1753公司5月验证数据中BAL/CF 部分已推送HFM；继续进行与生产相关业务的成本功能测试，SA04工厂测试完成；已完成汇率接口布署；准备泰国相关的资产操作文档。
PP模块：完成AOP排产功能测试；完成WMS生产订单收、发料流程确认；完成WMS生产订单收、发接口字段确认；泰国特殊业务（boi、采购成品返工）的特殊核算要求引起的成品编码方案的讨论和编制；准备SA02工厂全套生产数据，准备模拟某月所有装置的投入的产出，为月结单元测试做准备；包装码主数据清单梳理和初稿完成；MRP运行的采购计划发SRM测试联调。
MM模块：完成与wms系统接口的对接（WMS预计国内调拨到泰国的液体收货功能9月初满足联调测试条件）；完成财务共享相关接口字段的沟通确认；完成采购订单接口的开发与采购申请的联调测试；完成收发货过账接口程序的开发；与MDM沟通物料主数据、供应商主数据的对接；讨论确认采购订单附加费。
SD模块：完成销售模块关键用户蓝图签署；完成与CRM接口开发计划、联调计划的确定；完成与共享接口开发计划、联调计划的确定；完成与CDS接口开发计划、联调计划的确定；完成与WMS接口开发计划、联调计划的确定；完成与OA接口开发计划、联调计划的确定；与CRM系统销售订单接口联调中；与CRM发货通知单接口开发中；交货单、开票、主数据接口FS编写中；销售模块关键用户单元测试中。
2、MENDIX:细化工作清单，作业明确分工，进行相关事项开发
物料基本信息查询odata接口-李晶玮
工厂+公司信息全量查询odata接口-李晶玮
物料工厂信息修改页面展示列表-黄云</t>
  </si>
  <si>
    <t>1、FICO模块：付款平台功能持续改造中，本周完成预算单3种付款类型改造，与OA接口对接，下周修改报文格式 ，完成与影像接口开发2个接口；准备5个工厂的生产相关数据，下周安排工厂财务到上海集中测试；继续准备海波龙验证数据（只缺客商与贸易伙伴）；继续进行与生产相关业务的成本功能测试；完成泰国相关的资产操作文档并提交用户。
PP模块：模拟7月份5个生产工厂的生产订单、收货和发料，为下周财务测试生产成本准备数据，已完成80%；完成包装码主数据收集初稿；完成采购需求变更流程单元测试脚本编制；已完成AOP动态平衡表测试；已完成AOP收料、发货作业单测试（不含和WMS接口）。
MM模块：完成与AOP确认AOP系统中采购收货的作业单据；完成与SRM交货单创建联调；完成采购订单创建接口部分功能的联调测试（委外加工、父子订单未测试，SRM预计下周可以测试）；与CDS确认接口逻辑（需要确认对接方式，如不使用PO，需要ERP开发两套分发逻辑，现已确认仅占用接口同步直连，其他接口SAP标准推送）；与CRM对接物料主数据分发接口（因CRM物料主数据接收接口与SAP统一分发接口不一致，故CRM物料主数据后续D代码平台推送）；完成发票预制接口开发。
SD模块：完成CRM与ERP销售订单接口联调；完成ERP销售订单接口中关联交易采购订单触发的接口联调；CDS与ERP销售订单接口、订单信用冻结解冻联调进行中；完成CRM与ERP发货通知单接口联调；组织国内、泰国关键用户单元测试，明确泰国形式发票、Packinglist打印模版及取数逻辑；与CDS确定接口数量、接口内容、接口方式，分发类odata直连，操作类通过PO转发；与开发顾问一起整理开票平台FS，此项工作目前进行中；组织工厂开票人员培训开票系统操作步骤。
2、MENDIX：物料工厂信息修改页面工厂层信息扩展-黄云
物料基本信息修改页面-李晶玮
审批工作流程测试，和Mendix相关人员沟通如何实现流程，权限管理</t>
  </si>
  <si>
    <t>1、FICO模块：付款平台功能继续改造，完成OA单据推送及影像上传接口，并完成预算单功能改造，与MDM相关的财务数据接口，完成SAP端开发，继续推进后勤相关的替代校验。完成5家生产工厂用户成本核算培训及测试，继续进行与生产相关业务的成本功能测试，客商清账功能测试，银行对账功能测试，完成泰国预扣税相关操作文档。 
PP模块：完成生产订单自动批量报工测试，完成5个生产工厂8月份生产数据模拟，完成生产物料需求提报并正确传输到SRM系统，编制单元测试脚本编制（SAP和AOP已完成，SRM、OA和WMS正在进行中），已完成包装码主数据收集，正在进行意见征集中。
MM模块：完成需求提报单元测试，准备单元测试脚本，周五完成，完成发票校验、发票过账、发票模拟接口开发，与WMS完成主数据、采购订单、交货单测试（交货单还未测试，本周完成测试），完与共享完成采购订单、物料凭证、发票校验接口测试（发票校验未完成，本周完成），与CDS完成采购订单、物料凭证接口测试，与SMR完成发票预制测试。
SD模块：完成CDS与ERP销售订单接口联调，CRM&amp;CDS&amp;ERP销售订单接口联调进行中，计划周五完成，完成ERP交货单分发WMS，交货单过账顾问测试，计划本周完成与WMS联调测试，完成与CDS系统5个同步接口FS编写及开发，计划本周完成与CDS的联调测试，组织S4信用主数据培训及寄售补货信用检查方案的确定，开票平台FS更新进行中，编写SD模块跨系统单元测试脚本，已经下发至各外围系统进行细节完善。
2、mendix：参加SAP-BPT研讨会，Mendix交流会
初步实现权限审批工作流；继续完善页面中部分渲染布局
3、集成测试准备工作进行中，进一步细化后续工作安排</t>
  </si>
  <si>
    <t>1、各系统开发联调测试工作，具体如下：FICO模块：付款平台功能继续改造，基本完成共享相关的5个接口；接下来处理授信标识及备品备件汇总行项目，档案接口已开发完成，具备测试条件，HFM验证数据已按要求准备完成，HFM可展开测试，继续推进后勤相关的替代校验。准备集成测试文档，泰国资产测试完成。
PP模块：完成生产订单自动批量报工测试，完成生产订单批量技术完成测试，完成集成测试场景和脚本的准备，准备集成测试数据，完成关键用户和最终用户集成测试前的第一轮培训。
MM模块：与WMS测试收发货接口，完成发票校验、发票取消的测试，完成与CDS采购预算占用接口的测试，TMS完成销售运费接口的测试，完成与MDM物料主数据联调测试，完成与MDM供应商主数据联调测试，完成采购业务单元测试。
SD模块：完成ERP与WMS交货单过账、冲销接口联调，完成交货单POD批量确认功能顾问测试，开票平台功能测试、与共享/OA联调测试进行中，完成批量开票、采购信息记录报表及批量导入FS编写并下发至开发顾问，客户主数据扩展接口顾问测试中，编写集成测试脚本，已经下发至各外围系统进行细节完善，编写泰国形式发票、packinglist打印FS编写中。
2、MENDIX：完善mendix页面功能,多人实施开发同步通过SVN无法实现，需实际软件部署后才能落实,同在华沟通具体需求，页面功能/审批工作流需进一步细化
3、完成测试脚本和测试其他准备工作；</t>
  </si>
  <si>
    <t>1、完成测试系统准备、第一轮顾问测试及系统调整；
2、完成用户测试脚本，为关键用户测试做准备；</t>
  </si>
  <si>
    <t>1、顺利完成关键用户第一轮测试（不含专题）本次测试基于2025年8月完整业务数据，围绕生产、物资、销售、财务等核心业务流程，共完成31个业务场景的验证；</t>
  </si>
  <si>
    <t xml:space="preserve">1、主要工作：完成关键用户第二轮测试，完成除支付之外的专题测试，完成权限设定规则讨论、完成司库测试环境准备，完成上线策略初稿讨论，详细如下：FICO模块：成本报表开发，客户、供应商清账程序调整，HFM数据相关数据及功能调整，继续推进后勤相关的替代校验的调整。新旧科目映射关系及辅助核算整理，与共享联调测试，完成客户自动清账，与风控部门配合确认销售付款条件的内容，完成期初上线切换方案讨论，S4常用报表查询培训。
PP模块：完成第三轮（关键用户第二轮）集成测试，山东圣奥和泰国圣奥使用2025年8月份数据模拟生产和月结，其它工厂使用2025年7月份全量数据模拟测试，重点检查生产相关的AOP、SAP、WMS的系统联动情况上的数据正确性，测试中的问题解决，生产模块上线切换计划初稿制定。
MM模块：第三轮集成测试，目前公司间开票还未测试，MM集成测试问题/需求处理，目前采购支付方式字段未增加传CDS客商主数据信息程序开发正在进行中，本周完成；配合CDS专项补测，编写切换策略。
SD模块：支持用户第三轮集成测试及解决本周集成测试问题，泰国形式发票、pickinglist打印测试中，组织66快车与CRM/AOP集成测试，完成与CDS进行信用专题测试，与财务进行支付条款、起算日专题测试中，计划本周完成。
2、就关键用户第一轮测试中暴露的WMS的问题达成共识主要如下：1）出于担心网络或是系统建设的问题，设计时用户放特意预留了WMS可以单独操作的出口，但是同时导致了WMS和SAP库存不一致的风险，本期SAP库存是大类库存，WMS库存必须准确，否则会导致排程和销售出库流程混乱，就此问题达成共识：用户方只有特定人员有此权限，且时候需要补齐库存；建立日库存自动匹配机制，如有差异发送邮件给相关人员；
2）MM顾问重新细化整理月末开关账控制逻辑和步骤，后续就整理文档讨论
</t>
  </si>
  <si>
    <t>1、最终用户培训和测试；连云港出差，了解系统适用情况和问题解答；宣讲上线计划和上线策略
2、用户权限收集和整理；
3、正式系统部署和静态数据准备</t>
  </si>
  <si>
    <t>1、FICO模块：静态数据-已完成成本中心、作业类型、分摊循环的创建；物料主数据财务视图-生产相关已提交给用户，本周提交；供应商主数据财务视图已提交给用户，要求本周提交；动态数据 -已安排资产数据的准备，已要求企业在下周一提交；权限设计与用户分配-已安排用户确认权限分配的规则及具体角色，要求企业下周二提交；外围系统接口：汇率已开通，司库系统；开发方面继续推进档案系统接口功能调整、生产成本报表调整、银行余额调节表功能调整等。
PP模块：最终用户培训&amp;集成测试，最终用户权限的分配及测试。
MM模块：完成需求追踪报表开发；完成采购执行报表开发；采购运费结算报表正在开发中；完成电商自动收货程序开发；物料主数据供应商主数据基本视图导入；物料主数据供应商主数据业务视图收集整理，未清采购订单确认中。
SD模块：组织用户进行静态数据整理及导入生产系统；生产系统配置检查、前台自定义配置维护；组织添加剂销售人员系统操作培训；组织泰国单证员系统操作培训；组织关键用户进行权限测试、梳理最终用户权限分配表；SD模块报表开发及测试；SD模块期初导入程序测试；组织原料采购人员采购信息记录维护、原料销售开票培训；计划本周完成财务用户成品采购信息记录维护培训。
2、协调司库进一步测试并就上线策略达成共识；
3、后续工作：1）问题清零：上线前关闭所有测试问题。
2）操作手册：各模块顾问上线前前完成终版审核和修订。
3）物料清晰：发现10月新业务物料未清洗（原仅清洗有库存物料）；紧急补充清洗需在10月20日前完成。</t>
  </si>
  <si>
    <t>1、正式系统部署和权限分配
2、期初数据整理和导入；
3、项目相关问题例如司库问题跟踪和解决；</t>
  </si>
  <si>
    <t xml:space="preserve">期初补录单据跟进； </t>
  </si>
  <si>
    <t>1、完成全部补单工作，系统整体运行正常，详细如下：
FICO：顾问完成合并报表70%数据核对，部分问题调整中；
采购：培训工程类采购订单的操作流程并确定期初订单的负责人；
PP/MM:PP 目前AOP SAP WMS 全部连同， 已有单据录入， 目前计划已全部导入,AOP 部分个别用户操作不熟练，流程微调比如门卫负责录入内向交货单，此部分亚楠本周在现场与用户沟通协调，进行是否要微调确认， AOP 部分报表需进行完善，这部分本周也在确认中， WMS 和 SAP 接口正常。 2、MM ：SRM 目前大部分反馈在主数据段（包括银行或供应商数据缺失）目前在陆续录入和申请中， SRM 段涉及到报销和SRM 的业务切换 ，比较模糊，吴在华在与相关领导确认等待决策，是否要走报销还是 SRM 。WMS 段目前通畅。
资金系统：整体运行正常，但是工作量较大，临时协调的两个人计划到12月底，司库优化工作持续中；
2、存在问题：1）共享中涉及的纯财务属性供应商数据量大且维护流程长，基于目前系统情况难以找到好的解决方式 2)连云港成本核算方式问题待进一步确认</t>
  </si>
  <si>
    <t>1、支持及解决问题；
2、讨论纯财务类供应商解决方案，由报销人在MDM新建，事业部安排1~2位关键用户负责扩展；
3、HFM数据持续核对和调整中</t>
  </si>
  <si>
    <t>1、交接培训；
2、持续支持和问题解决；
3、月结准备工作</t>
  </si>
  <si>
    <t>1、上线支持和问题解决；
2、完成PP、FICO、权限交接培训；
3、完成月结支持；
主要问题：1、外围系统AOP和WMS的BUG很多，导致月末补单严重；2、对接关联交易平台的数据不稳定，仍需总结调整；</t>
  </si>
  <si>
    <t>信用风险大数据</t>
  </si>
  <si>
    <t>3-正常进行</t>
  </si>
  <si>
    <t>05-收尾</t>
  </si>
  <si>
    <t>评估信创</t>
  </si>
  <si>
    <t>1）商务方式尽可能确认
2）按照实施计划开展可行的交流和开发工作
风险：集团的第三方开发人员尚未到位。
1）1月1日切换上线，届时将与ERP项目组根据上线策略共同完成配置和补录工作。
2）信创工作：等候信创小组进一步安排</t>
  </si>
  <si>
    <t>1）按照上线计划，定于1月1日正式启用,1月7日开始配合CRM补录订单数据
2)信创评估已经完成，等待信创小组立项完毕</t>
  </si>
  <si>
    <t>1)信创评估已经完成，等待信创小组立项完毕</t>
  </si>
  <si>
    <t>4、</t>
  </si>
  <si>
    <t>1）准备硬件资源
2）完成项目计划调整，计划10月初上线</t>
  </si>
  <si>
    <t>1）完成测试环境数据迁移，并开始测试；
2）测试环境开始适配性调整程序 
3）搭建生产环境</t>
  </si>
  <si>
    <t>上周，我们识别出了存在查询速度缓慢问题的功能点。本周，我们正式针对这些功能点展开优化工作 。</t>
  </si>
  <si>
    <t>1）由于星环大数据不支持输出信息给达梦数据库，因此计划进行星环平台迁移工作</t>
  </si>
  <si>
    <t>1）计划9月27日进行信创环境切换；
2）继续优化SQL语句，解决速度慢的问题
3）本周重点进行所有功能的测试</t>
  </si>
  <si>
    <t>已经切换完毕，转入运维</t>
  </si>
  <si>
    <t>交付文档整理；</t>
  </si>
  <si>
    <t>1）本月已完成南通星辰生产环境的部署，按照上线计划，定于1月1日正式启用。
2）评估完毕，并已经把预算报信创小组（50万）</t>
  </si>
  <si>
    <t>1）南通星辰CDS系统上线成功，转入运维工作。</t>
  </si>
  <si>
    <t>1)刚刚联系顾涛总，他回复：等待他们立项完毕</t>
  </si>
  <si>
    <t>1）信创小组立项完毕
2）项目准备工作并开始签署合同
3）完成合同签署
4）完成初步项目计划</t>
  </si>
  <si>
    <t>信用风险大数据系统信创进度：目前已经完成测试环境的所有信创软件（tongweb企业版、内嵌班、达梦数据库、httpserver）安装、代码部署、数据库迁移。目前正在测试。</t>
  </si>
  <si>
    <t>1、测试环境数据迁移完成  服务启动正常  生产环境httpserver也同步搭建完成
2、生产环境服务已经配置完毕，生产数据已经完全迁移，开始基于生产环境做相关开发和验证工作。
3、数据完整性已经验证完成  现在在跑性能测试  8月18日开始会把没有索引的表排查一下  同步加上索引
4、信创测试、生产环境功能测试中  慢SQL排查（达梦数据库 ql执行的时间比较长的，正在排查解决）0825更新
5、8/25-8/29：数据库漏洞升级，并且识别出查询慢的功能点</t>
  </si>
  <si>
    <t>1）针对数据慢的查询语句，逐条核对和优化</t>
  </si>
  <si>
    <t>1）信创环境数据验证和功能验证
2）功能测试</t>
  </si>
  <si>
    <t>1）完成星环平台迁移工作
2）继续进行功能测试</t>
  </si>
  <si>
    <t>已经切换完毕</t>
  </si>
  <si>
    <t>南通星辰项目管理系统</t>
  </si>
  <si>
    <t>丁凯</t>
  </si>
  <si>
    <t>03-延期进行</t>
  </si>
  <si>
    <t>02-寻源</t>
  </si>
  <si>
    <r>
      <rPr>
        <sz val="10"/>
        <color rgb="FF2F5597"/>
        <rFont val="微软雅黑"/>
        <family val="2"/>
        <charset val="134"/>
      </rPr>
      <t>1）商务方式尽可能确认</t>
    </r>
    <r>
      <rPr>
        <sz val="10"/>
        <color rgb="FF2F5597"/>
        <rFont val="等线"/>
        <family val="2"/>
      </rPr>
      <t xml:space="preserve">
</t>
    </r>
    <r>
      <rPr>
        <sz val="10"/>
        <color rgb="FF2F5597"/>
        <rFont val="微软雅黑"/>
        <family val="2"/>
        <charset val="134"/>
      </rPr>
      <t>2）按照实施计划开展可行的交流和开发工作</t>
    </r>
    <r>
      <rPr>
        <sz val="10"/>
        <color rgb="FF2F5597"/>
        <rFont val="等线"/>
        <family val="2"/>
      </rPr>
      <t xml:space="preserve">
</t>
    </r>
    <r>
      <rPr>
        <sz val="10"/>
        <color rgb="FF2F5597"/>
        <rFont val="微软雅黑"/>
        <family val="2"/>
        <charset val="134"/>
      </rPr>
      <t>风险：集团的第三方开发人员尚未到位。</t>
    </r>
    <r>
      <rPr>
        <sz val="10"/>
        <color rgb="FF2F5597"/>
        <rFont val="等线"/>
        <family val="2"/>
      </rPr>
      <t xml:space="preserve">
</t>
    </r>
    <r>
      <rPr>
        <sz val="10"/>
        <color rgb="FF2F5597"/>
        <rFont val="微软雅黑"/>
        <family val="2"/>
        <charset val="134"/>
      </rPr>
      <t>1.南通星辰合同流程内部发起。</t>
    </r>
    <r>
      <rPr>
        <sz val="10"/>
        <color rgb="FF2F5597"/>
        <rFont val="等线"/>
        <family val="2"/>
      </rPr>
      <t xml:space="preserve">
</t>
    </r>
    <r>
      <rPr>
        <sz val="10"/>
        <color rgb="FF2F5597"/>
        <rFont val="微软雅黑"/>
        <family val="2"/>
        <charset val="134"/>
      </rPr>
      <t>2.与ERP及OA，影像系统各业务接口对接沟通，制定开发计划。</t>
    </r>
    <r>
      <rPr>
        <sz val="10"/>
        <color rgb="FF2F5597"/>
        <rFont val="等线"/>
        <family val="2"/>
      </rPr>
      <t xml:space="preserve">
</t>
    </r>
    <r>
      <rPr>
        <sz val="10"/>
        <color rgb="FF2F5597"/>
        <rFont val="微软雅黑"/>
        <family val="2"/>
        <charset val="134"/>
      </rPr>
      <t>1.合同流程的跟踪，合同盖章确认。</t>
    </r>
    <r>
      <rPr>
        <sz val="10"/>
        <color rgb="FF2F5597"/>
        <rFont val="等线"/>
        <family val="2"/>
      </rPr>
      <t xml:space="preserve">
</t>
    </r>
    <r>
      <rPr>
        <sz val="10"/>
        <color rgb="FF2F5597"/>
        <rFont val="微软雅黑"/>
        <family val="2"/>
        <charset val="134"/>
      </rPr>
      <t>2.与ERP及SRM，影像系统各业务接口对接沟通，制定开发计划。</t>
    </r>
    <r>
      <rPr>
        <sz val="10"/>
        <color rgb="FF2F5597"/>
        <rFont val="等线"/>
        <family val="2"/>
      </rPr>
      <t xml:space="preserve">
</t>
    </r>
    <r>
      <rPr>
        <sz val="10"/>
        <color rgb="FF2F5597"/>
        <rFont val="微软雅黑"/>
        <family val="2"/>
        <charset val="134"/>
      </rPr>
      <t>1.接口计划与各业务对接</t>
    </r>
    <r>
      <rPr>
        <sz val="10"/>
        <color rgb="FF2F5597"/>
        <rFont val="等线"/>
        <family val="2"/>
      </rPr>
      <t xml:space="preserve">
</t>
    </r>
    <r>
      <rPr>
        <sz val="10"/>
        <color rgb="FF2F5597"/>
        <rFont val="微软雅黑"/>
        <family val="2"/>
        <charset val="134"/>
      </rPr>
      <t>2.合同签订盖章</t>
    </r>
    <r>
      <rPr>
        <sz val="10"/>
        <color rgb="FF2F5597"/>
        <rFont val="等线"/>
        <family val="2"/>
      </rPr>
      <t xml:space="preserve">
</t>
    </r>
    <r>
      <rPr>
        <sz val="10"/>
        <color rgb="FF2F5597"/>
        <rFont val="微软雅黑"/>
        <family val="2"/>
        <charset val="134"/>
      </rPr>
      <t>3.工程师到现场业务洽谈施工</t>
    </r>
  </si>
  <si>
    <t>1.供应商到达现场办公
2.制定项目计划文档</t>
  </si>
  <si>
    <t>1.SRM系统接口测试完成，测试数据传输完成。
2.编制需求文档，与用户确认需求文档是否有缺失。
3.根据时间进度修改计划文档
4.配合ERP系统上线</t>
  </si>
  <si>
    <t>1.配合ERP系统上线，业务数据补充
2.完成与ERP系统接口的初步沟通，评估接口方案的可行性，并且尽快根据接口方案文档，制定开发文档
3.与OA系统接口对接再次确认
4.影像系统接口对接再次确认</t>
  </si>
  <si>
    <t>1.配合ERP系统上线，业务数据补充
2.完成与ERP系统接口的初步沟通，评估接口方案的可行性，并且尽快根据接口方案文档，制定开发文档
3.开发文档编辑
4.业务需求二次确认</t>
  </si>
  <si>
    <t>1.PU系统整理需求及方案文档
2.公司内部评审需求及方案文档
3.关键用户评审需求及方案文档
4.确认开发方案与开发顺序
5.整理开发需求及所需环境</t>
  </si>
  <si>
    <t>为开发需求准备相应环境及数据准备（持续进行中）；
与ERP进行接口及报文的可用性核对与调试，并根据结果调整表单部分字段（进行中）；
开发工作持续进行中，目前已完成：采购申请、采购订单、采购入库及冲销同步（待调整）；
开发进行中：影像系统接口；</t>
  </si>
  <si>
    <t>第一周
ERP相关接口已调用成功，并将ERP系统接口报错提交至ERP，待反馈
第二周
与用户演示并测试已完成功能；
与ERP沟通并测试接口问题；
生产环境主数据及相关数据调整；
生产环境功能调整；
与ERP沟通付款申请、实付款、发票校验需求；
第三周
相关接口调整完毕，并完成上线工作
进行后续的开发工作</t>
  </si>
  <si>
    <t>25年优化：</t>
  </si>
  <si>
    <r>
      <rPr>
        <sz val="10"/>
        <color rgb="FF000000"/>
        <rFont val="微软雅黑"/>
        <family val="2"/>
        <charset val="134"/>
      </rPr>
      <t>1.采购部门已经发起寻源系统。</t>
    </r>
    <r>
      <rPr>
        <sz val="10"/>
        <color rgb="FF000000"/>
        <rFont val="等线"/>
        <family val="2"/>
      </rPr>
      <t xml:space="preserve">
</t>
    </r>
    <r>
      <rPr>
        <sz val="10"/>
        <color rgb="FF000000"/>
        <rFont val="微软雅黑"/>
        <family val="2"/>
        <charset val="134"/>
      </rPr>
      <t>2.采购部门已经完成内部合同流程的审批发起。</t>
    </r>
    <r>
      <rPr>
        <sz val="10"/>
        <color rgb="FF000000"/>
        <rFont val="等线"/>
        <family val="2"/>
      </rPr>
      <t xml:space="preserve">
</t>
    </r>
    <r>
      <rPr>
        <sz val="10"/>
        <color rgb="FF000000"/>
        <rFont val="微软雅黑"/>
        <family val="2"/>
        <charset val="134"/>
      </rPr>
      <t>3.项目组与OA系统相关负责人开会接口讨论，制定开发计划。</t>
    </r>
  </si>
  <si>
    <t>1.项目计划文档初版制定完成。</t>
  </si>
  <si>
    <t>1.SRM系统接口连通性测试完成</t>
  </si>
  <si>
    <t>1.与ERP系统接口初步沟通
2.开发文档补充完整</t>
  </si>
  <si>
    <t>1.与ERP系统接口再次沟通
2.开发文档补充完整
南通星辰项目管理系统四期集成项目需求及方案说明</t>
  </si>
  <si>
    <t>需求文档方案文档
开发方案文档</t>
  </si>
  <si>
    <t>影像系统接口已完成，并与影像系统进行测试，功能测试正常；
OA系统合同流程以调试完毕；
OA系统付款申请调试完毕；</t>
  </si>
  <si>
    <t>第一周：
ERP系统采购申请接口调试完毕；
ERP系统采购订单接口调试完毕；
第二周：
与用户演示并测试已完成功能
与ERP沟通付款申请、实付款、发票校验需求</t>
  </si>
  <si>
    <t>产业链优化以及供应商优化方案功能设计中；</t>
  </si>
  <si>
    <t>南通星辰ERP实施升级</t>
  </si>
  <si>
    <t>转运维用押金或其他保障措施</t>
  </si>
  <si>
    <t>1、进行系统开发说明书的编写，进行系统开发与测试；2、进行最终用户操作培训，3、进行权限的收集与设定，4、针对第一轮有问题的地方进行第二轮集成测试。</t>
  </si>
  <si>
    <t>进行系统开发说明书的编写，进行系统开发与测试，进行最终用户操作培训，完成权限的收集与设定，完成上线切换策略制定及宣贯，完成静态数据扩展。</t>
  </si>
  <si>
    <t>进行系统开发说明书的编写，进行系统开发与测试，权限导入生产机系统，进行静态数据到导入及检查，未解决问题的处理与跟踪，最终用户操作与练习。</t>
  </si>
  <si>
    <t>按上线切换策略计划开展静态数据导入与检查，按部门完成上线切换策略讲解，已完成的开发程序导入生产机，完成权限测试，并导入生产机，针对第一、第二轮集成测试遇到的问题进行第三轮测试，进行系统开发、测试。</t>
  </si>
  <si>
    <t>1、网络、打印机、ERP用户检查与设置，最终用户考试，2、现有系统财务月结，动态数据收集（库存、未清销售订单、未清采购订单）3，期初库存数据录入，应收、应付、总账、暂估、固定资产录入，准备上线工作</t>
  </si>
  <si>
    <t>1、上线支持
2、数据补入
3、部分延迟实现功能继续开发实现</t>
  </si>
  <si>
    <t>1、数据补入与核对；2、上线支持和问题解决；3、处理上线前遗留问题；</t>
  </si>
  <si>
    <t>1、补入数据，完成月结
2、BUG解决，报表开发、PU接口开发</t>
  </si>
  <si>
    <t>尽快总结问题，针对问题分析处理对策</t>
  </si>
  <si>
    <t>1、完成补单工作2、问题讨论及解决3、上线支持</t>
  </si>
  <si>
    <t>1、问题解决和上线支持 2、准备月结工作</t>
  </si>
  <si>
    <t>①2月份月结支持；
②对项目问题进行处理；
③对项目问题进行沟通、讨论确定解决方案；</t>
  </si>
  <si>
    <t>①上线支持
②对项目问题进行处理、沟通、讨论确定解决方案：
计划详细整体过一遍问题清单</t>
  </si>
  <si>
    <t>①上线支持
②问题跟踪及解决</t>
  </si>
  <si>
    <t>①上线支持及月结支持
②问题跟踪及解决</t>
  </si>
  <si>
    <t>①月结支持
②问题跟踪及解决</t>
  </si>
  <si>
    <t>1、试运行支持和月结支持
2、问题跟踪和解决；
3、变更和优化清单确认；</t>
  </si>
  <si>
    <t>1、试运行支持
2、问题跟踪和解决；
3、变更和优化清单确认；</t>
  </si>
  <si>
    <t>1、试运行支持及月结支持
2、问题跟踪和解决；
3、变更和优化清单确认；</t>
  </si>
  <si>
    <t>25年深度优化上线配置完成；</t>
  </si>
  <si>
    <t>1、进行系统开发说明书的编写，进行系统开发与测试；ERP开发工作完成73%，外围系统开发进度正常，PU系统已经可以开始远程沟通；
2、进行最终用户操作培训，进行权限的收集与设定；加强了芮城的培训工作，计划16号确定是否需要现场答疑；手册完成进度需加快
3、针对第一轮有问题的地方进行第二轮集成测试；
目前对上线有影响的问题：1、销售退货没有成本分录生成2、销售开票平台不能合并和拆分开票3、CO-PA依然有问题，月结差异处理程序未开始4、PIMP的回退接口未完成</t>
  </si>
  <si>
    <t>1、进行系统开发说明书的编写，进行系统开发与测试，ERP开发完成比例87.2%；外围系统中PU相关未开始，MDM落后但是不影响上线，其他系统正常
2、进行最终用户操作培训；各模块的培训和操作手册存在不同程度的滞后；
3、完成权限的收集与设定，
4、完成上线切换策略制定及宣贯，
5、完成静态数据扩展。
遗留问题中严重程度高的问题有36个，需要进一步评定是否影响上线</t>
  </si>
  <si>
    <t>按上线切换策略进行静态数据（客户、物料、供应商、bom等）收集与导入，对上线切换策略进行细化，完成上线切换进行评估，芮城最终用户培训，完成生产机系统配置检查，未解决问题跟踪与处理，进行系统开发、测试。</t>
  </si>
  <si>
    <t>1、期初数据整理、核对、导入
2、系统切换，业务数据补入
3、权限部署</t>
  </si>
  <si>
    <t>1、期初数据整理、导入、核对工作完成，系统切换成功；2、期初数据开始补入；3、关联交易等上线后待处理工作开始启动</t>
  </si>
  <si>
    <t>1、数据补入，遇到的主要问题是主数据缺失，权限问题、操作问题、程序问题；
2、开发：问题解决，报表开发，
3、PU接口开发</t>
  </si>
  <si>
    <t>1、完成1月月结，存在问题待总结；2、补单工作：中蓝销售订单的补单工作延迟比较严重，制定了相应措施，待后续看进展情况；备品备件的采购订单补单卡滞，待领导督促进行；3、重点问题：1）禅道中产品问题需要跟踪解决；2）销售成本的差异解决方案需要尽快落实同时尽早确定计划 3）司库的票据各类问题需要汇总后反馈解决 4）未完成的方案，例如关联交易需要尽快落实并安排计划；5）中蓝立库导致的WMS不能直连，需要尽快分析问题并解决6）月结生产连续性问题，之前SAP中有在制品结算，新方案中取消了在制品结算7）月结过程中的报表不准确或缺失</t>
  </si>
  <si>
    <t>1、继续补单工作2、问题收集和解决，根据目前的收集情况，共计有在手问题286个，问题分配到组，10号前给出问题的解决期限</t>
  </si>
  <si>
    <t>1、补单工作：备品备件已经完成，中蓝销售订单改性还有40笔待完成2、上线支持3、就目前存在问题同兰总汇报，待解决问题共166个，主要集中在司库、共享、ERP，ERP问题承诺在3月底前全部解决，司库问题将两条线财务部和数字化部共同推进解决，共享问题进一步推动解决；</t>
  </si>
  <si>
    <t xml:space="preserve">①进行上线支持工作；
②对项目问题进行处理；
③对项目问题进行沟通、讨论确定解决方案；
</t>
  </si>
  <si>
    <t>①2月份月结支持；月结重大问题：1）公用工程采购结算流程不畅通，延误一天；2）采购发票从共享可以重复记账，账务理清延误半天；3）成本中心明细分析表突然数据紊乱，无法月结，原因原厂商自行更新程序，延误半天 4）采购发票校验是物料数量单位问题扩大差异1000倍，问题排查数小时；总结：整个月结时间24号开始到28号凌晨结束，28日开始录入系统，延续时间过长且尚有遗留问题处理，销售投诉严重影响业务运行，补单情况严重，手工单风险大；
②对项目问题进行处理、沟通、讨论确定解决方案：1）司库问题同财司做了沟通，主要问题依然没有大的进展，且进一步发现财司票据余额无法同司库余额对齐，已经提供实例给司库项目组2）对业务影响较大急需ERP项目组解决的问题：关联交易流程（目前流程方案讨论阶段；客户来款自动清账（同中化信息确认变更，等待方案评估）；月结后外围系统传输的物料凭证接口可以自动判断情况入账到次月（中化信息承诺评估，尚未给出回复）；客户来款退款（流程缺失，博科和共享相互扯皮，未给出方案）；付款申请平台功能不完善，存在重复支付风险；销售出库数量无控制，出库金额按客户信用额度控制；采购发票无控制，可以无限量校验；入库暂存和发票暂存不一致；3）ERP系统报表问题众多，部分风险较大，例如财务库存科目余额和业务库存数据对不上；进销存报表和科目余额表对不上；风险授信额度因财务入账信控范围不准确，数据不准；4）PU项目情况：同ERP顾问确认了支付申请流程，因为月结未进一步讨论接口字段等细节；
③上线支持；</t>
  </si>
  <si>
    <t>1、整理问题清单，重大问题跟踪并协助方案解决；部分重点问题：1、财务支付相关  票据督促司库增加字段以便实现直联；合并支付ERP组和共享已经评估方案并计划实施改进；2、关联交易 初步方案待讨论 3、自动清账 已经提交禅道待处理  
2、上线支持</t>
  </si>
  <si>
    <t xml:space="preserve">1、整理问题清单并促进问题解决，部分重点问题1）票据实现直连，司库紧急问题都已经解决，除票据台账的利润中心问题外其余问题已经排定时间 ；2）关联交易方案初步谈定； 3）合并付款   下周进入测试流程；4）COPA的报表逻辑调整中5）产业链资产负债表：下周试用；6）客户退款临时流程完善
2、上线支持；
</t>
  </si>
  <si>
    <t>1、整理问题清单并促进问题解决，部分重点问题：1）自动清账经沟通后确定4月7日完成所有开发并开始测试2）月结后外围系统接口的记账日期自动调整原定3月使用，产品组 决定现在晨光做测试，4月月结在南通使用3）合并支付 3月28日ERP和共享开始联调测试 4）票据利润中心回传已经集团上会，目前没有定案；5）差异分摊、COPA报表、产业链报表都待本月月结测试试用
2、上线支持；
3、和中化信息讨论确定后续运维方案；
4、PU系统接口进展：
1）整理开发需求并核对、测试接口报文，确保报文可用。
2）成本中心等重要主数据处理及功能新增（已完成）；
3）为开发需求准备相应环境及数据准备（持续进行中）；
4）与ERP进行接口及报文的可用性核对与调试，并根据结果调整表单部分字段（进行中）；</t>
  </si>
  <si>
    <t>1、整理问题清单并促进问题解决，部分重点问题：1）STO已经在实施中；2）合并付款本周三开发完，然后和ERP一起测试，争取4月7日上线；3）票据核算字段排期当中；4）系统不稳定，其他项目更改对系统应用影响较大，本周已经发生3起重大事件
2、上线支持及月结支持，月结情况总结：1)中蓝物料账完成后，3.28日在数据核对过程中发现一个物料实际成本异常，经检查原因发现是该物料1月份收货金额扩大1000倍，发票数量又搞错了用户没发现，3月份发现问题冲销掉，但是没有重新进行校验导致这个月成本异常，3.28日晚再次按照正确的发票校验后再次月结即正常；2)7092发出商品差异分摊凭证有2876*2行，3.28日前台执行过账Timeout报错，后来做成后台任务，3.29日上午执行完成；3) 7092与A286的关联交易：据说是一方有销售，另一方没有收货，也没有发票校验，双方一直在对账导致的时间延误。
3、PU接口进展：整理开发需求并核对、测试接口报文，确保报文可用。
开发工作持续进行中，目前已完成：内部订单、采购申请、采购订单、采购入库及冲销同步（待调试）；开发进行中：影像系统接口；</t>
  </si>
  <si>
    <t xml:space="preserve">1、整理问题清单并促进问题解决；同中化信息沟通如何减少其他项目互相影响的方案；
2、实施STO关联交易
3、确定客户退款需求
</t>
  </si>
  <si>
    <t>1、整理问题清单并促进问题解决；主要问题跟踪如下1）关联交易STO方案，目前采购段测试完成，销售段待实现2）合并支付已经上线，整理了现有支付申请的问题并按生成原因处理3）需要解决PIMP接口没有控制重复机制问题，待讨论；4）客户退款被中化信息认定为变更，目前沟通中
2、本周就发出商品差异过大开会讨论，形成三个问题，后续持续跟踪：1）未清整理并核对 2）实现发出商品自动清账3）新增报表供用户自己分析</t>
  </si>
  <si>
    <t>1、整理问题清单并促进问题解决，重点问题1）支付申请问题做了沟通，但原始设计与业务实际不符，核对不清，有重复支付风险，仍需近一步沟通2）发出商品科目截至3余额堆积了近1500万差异，虽然开会讨论了解决方案，几乎没有推进进展，急需进一步督促 3）一些重要的报表、STO、自动清账等严重问题处理缓慢
2、PU相关情况更新：测试已开发接口，并与相关方进行沟通调试。
影像系统接口已完成，并与影像系统进行测试，功能测试正常；
OA系统接口已调用成功，并将OA系统接口报错提交至OA，待反馈；
ERP相关接口已调用成功，并将ERP系统接口报错提交至ERP，待反馈</t>
  </si>
  <si>
    <t>1、月结问题：1）月结期间，财务部门的工作量显著增加，特别是对账环节耗时较长。核对工作繁琐，需要对多个科目进行组合核对，如资产负债表等，且博科ERP的报表穿透性差，导致大量手工对账。2）多位用户反映现有操作手册不够详细，尤其在关键流程上缺乏明确指导。因此，后续需优化操作手册，确保其内容更加清晰、易懂。
2、系统稳定性及产品问题：1）系统稳定性：目前使用的系统稳定性不足，部分功能模块仍在完善中，影响了月结工作，尤其是报表数据准确性和及时性。 2）销售在途的整体解决方案：在未清理销售在途前，毛利率表和存货表存在问题。3）生产计划工单没能带出BOM组件；4）装置成本表投入的产品需要从产品中删除对应的产量 （2月份已修正完的逻辑丢失）
3、后续运维：1）博科ERP日常运维支持：运维工作统一发送至itsm@sinochem.com，由刘一鸣负责接收和分配。问题解决进展可通过itsm平台查询，每周周报将附上所有问题的进展清单。2）博科ERP问题修正：截至4月28日，博科ERP未解决问题29个，新需求30个。中化信息与博科ERP团队、第三方项目团队将共同梳理，并在节后尽快提供解决计划和费用，项目组将参与确认并监督计划执行。</t>
  </si>
  <si>
    <t>1、总结遗留问题清单和变更问题清单；跟踪问题解决状态；
主要问题：1）PU 付款申请接口没完成，其余测试中
2）海关手册号 需要进一步确认需求
3）STO公司间交易，STO5月底测试，ICS待定
4）</t>
  </si>
  <si>
    <t>1、问题跟踪，
1）销售在途：差异已经整理清楚，后续需要提供财务口径的已出货未开票报表，以便和余额和业务口径报表核对，基于谨慎原则，财务在考虑恢复到冲销方式处理跨越开票问题；
2）PU系统基本协商完毕，只差支付申请在开发中；</t>
  </si>
  <si>
    <t>1、问题跟踪及解决
2、月结支持：本周月结未能正常开始，下周持续</t>
  </si>
  <si>
    <t>1、根据南通星辰ERP项目的实际情况，中化信息已协调资源进行现场支持。经过近三周的努力，大部分问题已得到解决。关于发出商品，顾问已对数据进行了核对，财务对已出货未开票的部分进行了冲销。冲销后，余额结果与分析核对结果一致，但毛利率成本分析表依然不准确，冲销后的余额需要进一步分析。
2、付款申请模块方面，程序中的Bug修复和优化工作已完成，目前剩余的任务是针对南通星辰业务的功能定制化优化。已完成的核心功能包括自动清账、月底自动过账等，其他小功能如批量打印、模板调整等也已完成并投入使用。</t>
  </si>
  <si>
    <t>1、问题跟踪及解决；
2、变更跟确认
3、沟通正常运维计划</t>
  </si>
  <si>
    <t xml:space="preserve">1、问题跟踪及解决；主要问题：1）销售在途和毛利润表 2）支付还是有问题；
2、变更跟确认
3、沟通正常运维计划
</t>
  </si>
  <si>
    <t>1、与外围系统遗留接口基本完成，含项目管理系统
2、STO功能在ERP中已完成测试，本周尽可能与财务共享平台对接完成字段新增，计划本月将首先上线水电气模块。其他转储业务STO业务需等待WMS增强完成后，再行安排测试并上线。
3、关于发货商品，顾问已核对数据，余额与分析结果一致。冲销后的余额已进一步分析，待6月月结结束后进行再次核对，以确保逻辑问题已解决。
4、付款申请模块方面，程序中的Bug修复和优化工作基本完成。目前等待关闭功安排上线后，再进行验证，以确认该功能是否能够满足用户的基本需求。
5、需进一步确认员工供应商的申请流程</t>
  </si>
  <si>
    <t>SCM生产环境发版完成，还有附件对接和单点登录计划下周上线；</t>
  </si>
  <si>
    <t>博科ERP 二期优化</t>
  </si>
  <si>
    <t>？</t>
  </si>
  <si>
    <t>SCM对接SRM培训；</t>
  </si>
  <si>
    <t>25年深度优化上线培训；</t>
  </si>
  <si>
    <t>海波龙</t>
  </si>
  <si>
    <t>翟晓菲</t>
  </si>
  <si>
    <t>盯审批进度</t>
  </si>
  <si>
    <t>25年深度优化上线支持；</t>
  </si>
  <si>
    <t>精准维修</t>
  </si>
  <si>
    <t>租户合并：</t>
  </si>
  <si>
    <t>开发环境测试脚本完成检查。</t>
  </si>
  <si>
    <t>其他</t>
  </si>
  <si>
    <t>特材各系统流程搭建</t>
  </si>
  <si>
    <t>开始进行相关配置整理。</t>
  </si>
  <si>
    <t>功能迁移处理。</t>
  </si>
  <si>
    <t>第1周(12/2-12/6)</t>
  </si>
  <si>
    <t>第2周(12/9-12/13)</t>
  </si>
  <si>
    <t>第3周(12/16-12/20)</t>
  </si>
  <si>
    <t>第4周(12/23-12/27)</t>
  </si>
  <si>
    <t>第二周（6/9-3/13）</t>
  </si>
  <si>
    <t>经营计划求解平台
二期&amp;三期</t>
  </si>
  <si>
    <t>殷勇</t>
  </si>
  <si>
    <t>优化事项优先级更高，河北方案先准备立项（可以包含在四期）；瑞恒主导从财务变更到运营主导</t>
  </si>
  <si>
    <t>1、环氧事业部推广：
1）南通星辰、扬农锦湖继续测试模型、验证数据；
2）跟进业务数据填报用户账号、权限收集；
3）试运行准备：数据准备、用户角色权限配置，排定最终用户培训计划；
2、中间体事业部运维与改进：
1）简化版测算界面测试反馈、沟通；
2）中间体12月模型运行保障；
3）SAP历史作业成本数据用户核对；
3、周二，集团数字化部经营计划求解平台专题汇报。</t>
  </si>
  <si>
    <t>1、环氧事业部推广：
1）周五，南通星辰、扬农锦湖最终用户培训；
2）试运行安排；
3）准备瑞恒公司环氧相关数据剥离、另建场景实现方案；
2、中间体事业部运维与改进：
1）简化版测算界面测试反馈、沟通；
2）瑞恒周度测算模型沟通、处理算法开发，试用；
3、周一，MES集成沟通：集成方案，取数内容，开发计划。</t>
  </si>
  <si>
    <t>1、环氧事业部推广：
1）试运行保障（本周进行月度填报及测算）；
2）南通星辰11月实际数据导入验证
3）完善瑞恒公司环氧相关数据剥离算法；
2、中间体事业部运维与改进：
1）继续测试、优化瑞恒简化版测算模型；
3、MES集成开发：按计划推进。
4、化工事业部虚拟服务器安装、调试。</t>
  </si>
  <si>
    <t>1、环氧事业部推广：
1）试运行保障（本周进行周度填报及测算）；
2）试运行结果的分析与差异排查；南通星辰11月实际数据导入验证；
3）生产环境切换准备；
2、中间体事业部运维与改进：
1）新开发功能试用、讨论；
2）装置停车损失的计算方案设计、开发；
3、MES集成开发沟通、推进。
4、化工事业部虚拟服务器安装、调试。</t>
  </si>
  <si>
    <t>1、环氧事业部推广：
1）试运行结果及问题总结；
2）瑞恒公司环氧相关装置数据的查看与操作；
3）生产环境切换准备、数据迁移；
2、中间体事业部运维与改进：
1）装置停车损失的计算方案设计、开发；
2）跟进新部署功能的试用、反馈；
3、MES集成开发推进。
4、化工事业部虚拟服务器安装、调试。</t>
  </si>
  <si>
    <t>1、环氧事业部推广：
1）编写项目实施总结材料；
2）跟进正式系统的使用，系统运行保障；
2、中间体事业部运维与改进：
1）周一讨论：装置停车损失的计算方案、是否停车的决策逻辑；确定方案后，着手开发；
2）2025年项目推进计划，汇报材料编写；
3、MES集成开发：基础数据类取数开发；MES项目组本周提供生产计划、实际生产数据的表及视图。
4、化工事业部虚拟服务器安装、调试。</t>
  </si>
  <si>
    <t>1、环氧事业部推广：
1）编写项目实施总结材料；
2）跟进正式系统的使用，系统运行保障；
2、中间体事业部运维与改进：
1）继续开发装置停车损失的计算方案，纳入模型求解、验证；
2）2025年项目推进计划汇报；
3、MES集成开发：生产计划视图疑问沟通；取数开发。</t>
  </si>
  <si>
    <t>1、环氧事业部推广：
1）编写项目实施总结材料；
2）跟进正式系统的使用，系统运行保障；
2、中间体事业部运维与改进：
1）装置停车损失的计算方案，完成界面调整开发，组织用户测试、验证、完善；
2）2025年项目推进计划汇报；
3、MES集成开发：跟进取数开发进度，考虑后续数据应用。</t>
  </si>
  <si>
    <t>1、中间体事业部领导层使用平台
2、保障中间体2月模型运行，测试停车损失纳入模型后的计算、验证
3、MES集成开发：跟进取数开发进度，考虑后续数据应用。</t>
  </si>
  <si>
    <t>1、跟进中间体事业部领导层使用情况，完善平台功能；
2、跟进南通星辰周度模型运行情况；
3、MES集成开发：跟进取数开发进度，考虑后续数据应用。
4、2024年项目工作归档</t>
  </si>
  <si>
    <t>1、继续评估三期工作内容，准备立项材料。讨论ERP业务数据、卓创价格取数范围
2、跟进中间体、环氧事业部用情况，完善平台功能；
3、设计MES、ERP等基础数据映射关系、维护方式；
4、2024年项目工作归档</t>
  </si>
  <si>
    <t>1、拟定三期项目实施计划，完成立项材料。
2、讨论ERP业务数据范围与数据结构。
3、跨基地求解准备，着手梳理中间体产业链产品结构及关联关系。
4、设计MES、ERP等基础数据映射关系、维护方式；</t>
  </si>
  <si>
    <t>1、三期项目计划讨论、立项材料完善、申报。
2、讨论ERP业务数据范围与数据结构。
3、跨基地求解准备，中间体产业链关联业务梳理。
4、推广实施准备，实施流程梳理。</t>
  </si>
  <si>
    <t>1、三期项目立项材料申报。
2、结合运营指标穿透项目，调研业务系统数据ERP业务数据（ERP/MES/SRM/CRM/海波龙）。</t>
  </si>
  <si>
    <t>1、跟进三期项目立项申报流程，准备启动会材料。
2、跨基地模型：中间体事业部跨基地求解需求沟通、方案设计、关联交易数据梳理。
3、推广实施准备，梳理有关文档，内部培训沟通。
4、结合运营指标穿透项目，协助设计ERP数据抽取格式与规范。</t>
  </si>
  <si>
    <t>1、组织召开三期项目中间体事业部启动会，确定项目组织、生产营销等业务用户。
2、跨基地模型：中间体事业部跨基地求解需求、方案沟通与完善；继续梳理扬农本部业务、中间体内部关联交易数据。
3、推广实施：继续完善实施模板与文档，IT内部培训沟通。
4、结合运营指标穿透项目，协助设计ERP数据抽取格式与规范。</t>
  </si>
  <si>
    <t>1、结合运营指标穿透项目，设计、讨论装置产品日成本实现方案。
2、跨基地模型：中间体事业部跨基地求解需求、方案沟通与完善；跟进扬农本部业务、中间体内部关联交易数据梳理。
3、推广实施：IT内部培训沟通。
4、运维优化：跟进瑞恒单耗数据核对、更新。</t>
  </si>
  <si>
    <t>1、结合运营指标穿透项目，设计、讨论装置产品日成本实现方案。
2、跨基地模型：继续跨基地求解功能设计；中间体事业部跨基地求解需求、方案沟通与完善；跟进扬农本部业务、中间体内部关联交易数据梳理。
3、推广实施：IT内部培训沟通。
4、运维优化：跟进瑞恒单耗数据核对、更新。
5、跟进营销部门外部价格取值逻辑及参考清单梳理。</t>
  </si>
  <si>
    <t>1、与总部财务沟通日成本方案：结合模拟结转功能的日成本计算方案，关注业务录入及时性问题、能源类月底定价问题。
2、跨基地模型：与中间体事业部沟通方案、完善细节，开始数据结构调整及算法功能开发；跟进扬农本部业务、中间体内部关联交易数据梳理。
3、内部沟通帆软平台开发内容，及扩展功能开发思路。
4、运维优化：跟进瑞恒单耗数据核对、更新。
5、跟进营销部门外部价格取值逻辑及参考清单梳理。</t>
  </si>
  <si>
    <t>1、与总部财务沟通日成本方案：结合模拟结转功能的日成本计算方案。
2、跨基地模型：继续数据结构调整及算法功能开发；界面设计方案细化，制定开发计划；了解物流费用数据来源、研究集成方案；跟进扬农本部业务、中间体内部关联交易数据梳理。
3、细化内外部取数的工作内容、时间计划，跟踪完成进度。
4、运维优化：跟进瑞恒单耗数据核对、更新。</t>
  </si>
  <si>
    <t>1、日成本方案：细化日成本、日效益测算方案、开发计划。
2、跨基地模型：继续算法功能开发；制定界面开发计划；扬农本部业务、中间体内部关联业务待定问题沟通、梳理导入测试系统。
3、内外部取数：讨论工作内容及分工、时间计划。
4、运维优化：瑞恒工艺完善问题讨论、协助用户调整，单耗数据更新。</t>
  </si>
  <si>
    <t>1、日成本方案：开始SAP业务数据ETL开发。
2、跨基地模型：继续算法功能开发；开始界面开发；扬农本部业务、中间体内部关联业务待定问题沟通、导入测试系统。
3、内外部取数：开始SAP业务数据ETL开发。
4、运维优化：瑞恒工艺完善问题讨论、协助用户调整，单耗数据更新。</t>
  </si>
  <si>
    <t>1、日成本方案：开始SAP业务数据ETL开发。
2、跨基地模型：与瑞恒、瑞祥、瑞泰沟通模型疑问、工艺调整及完善问题，讨论关联业务及特殊问题：特许权使用费、委托研发费，创建扬农本部模型；继续算法功能开发、帆软报表界面开发，内部测试跨基地关联求解。
3、内外部取数：按模块（基础数据、仓储、生产、采购、销售），分批确认各类业务数据结构及取数、计算逻辑，开始ETL开发、数据核对。</t>
  </si>
  <si>
    <t>1、日成本方案：与经营分析项目结合进行，参与产业链业务研讨（环氧树脂、中间体）。
2、跨基地模型：瑞恒模型待定问题，与生产部门沟通、确认，更新、完善各基地模型及关联业务；继续算法功能开发、帆软报表界面开发，完善关联业务数据，进一步测试。
3、外部价格集成：跟进卓创商务洽谈进展，开始中间体价格取数开发。
4、沟通中间体事业部三个月滚动预测的计算逻辑、需求，评估在求解平台的实现方案。</t>
  </si>
  <si>
    <t>1、日成本方案：结合运营分析平台项目，沟通讨论日成本效益测算的落地方案、用户界面。
2、跨基地模型：继续完善瑞恒工艺、模型；沟通扬农本部业务及内部关联加工业务（重点：二氯苯加工业务），讨论疑难问题；继续算法功能开发、帆软报表界面开发与试用。
3、外部价格集成：商务确定，开始接口取数开发。
4、沟通中间体事业部三个月滚动预测的计算逻辑、需求，评估在求解平台的实现方案。</t>
  </si>
  <si>
    <t>1、日成本方案：跟进一体化经营管理平台项目日成本效益测算的落地方案及实现方式。
2、跨基地模型：瑞恒工艺调整后的试用、验证与完善；讨论瑞祥工艺调整、完善模型；测试扬农本部+三基地合并求解；继续算法功能完善、界面开发。
3、外部价格集成：研究、探讨外部价格数据的使用方案。
4、沟通中间体事业部三个月滚动预测的计算逻辑、需求，评估在求解平台的实现方案。</t>
  </si>
  <si>
    <t>（全周参与一体化经营管理项目瑞恒调研（生产、采购），以下计划抽空进行）
1、日成本方案：参与一体化经营管理项目组瑞恒调研，结合调研结果，完成日成本效益FS文档初稿。
2、跨基地模型：讨论瑞祥工艺调整、完善模型；测试扬农本部+三基地合并求解；继续算法功能完善、界面开发。
3、外部价格集成：研究、探讨外部价格数据的使用方案。</t>
  </si>
  <si>
    <t>1、日成本效益测算：制定整体开发计划；开始数据结构和算法设计；开始业务数据ETL开发。
2、跨基地模型：讨论瑞祥工艺调整、完善模型；测试扬农本部+三基地合并求解；继续算法功能完善、界面开发。
3、外部价格集成：研究、探讨外部价格数据的使用方案。</t>
  </si>
  <si>
    <t>1、日成本效益测算：与中间体财务沟通方案及计划；完成、完善SAP、MES业务数据ETL开发及日成本模型取数；完成日成本模型数据结构和基本算法功能开发。
2、跨基地模型：测试扬农本部+三基地合并求解；继续算法功能完善、界面开发。</t>
  </si>
  <si>
    <t>1、日成本效益测算：完善日成本模型数据结构和算法功能；核对SAP、MES业务数据，完善ETL功能开发，测试日成本效益计算，结果验证。
2、跨基地模型：配合用户测试扬农本部+三基地合并求解；确定市价模型扩展功能方案，着手开发实现。</t>
  </si>
  <si>
    <t>1、日成本效益测算：跟进、配合界面开发与测试；继续核对SAP、MES业务数据，完善ETL功能开发；测试日成本效益计算，结果验证。
2、跨基地模型：配合用户测试、完善扬农本部+三基地合并求解；确定市价模型扩展功能方案，着手开发实现。</t>
  </si>
  <si>
    <t>1、日成本效益测算：
1）继续配合用户，测试、验证数据，排查、解决问题，完善功能与界面；
2）配合日成本效益测算功能718上线。
2、跨基地模型：
1）配合用户测试、完善扬农本部+三基地合并求解；
2）确定市价模型扩展功能方案，着手开发实现。</t>
  </si>
  <si>
    <t>1、日成本效益测算：
1）继续配合用户，测试、验证数据，排查、解决问题，完善功能与界面；（主要方向：未进产品的运费、仓储费等成本科目，是否需要预估；不体现在SAP生产订单中的物料成本，如双酚A试车费用，是否需要预估）
2）考虑SAP月结后的成本数据抓取，及预测-实际数据对比的实现。
2、跨基地模型：
1）配合用户测试、完善扬农本部+三基地合并求解；
2）继续市价模型扩展功能开发。</t>
  </si>
  <si>
    <t>1、日成本效益测算：
1）继续配合用户，测试、验证数据，排查、解决问题，完善功能与界面；（主要方向：4月、5月日成本模型数据验证、分析差异；费用类数据整理、纳入模型计算与展示）
2）汇报日成本效益模型开发落地进展；
3）沟通MES数据问题及改进方案
4）考虑SAP月结后的成本数据抓取，及预测-实际数据对比的实现。
2、跨基地模型：
1）配合用户测试、完善扬农本部+三基地合并求解；
2）继续市价模型扩展功能开发。</t>
  </si>
  <si>
    <t>1、日成本效益测算：
1）继续配合用户，测试、验证数据，排查、解决问题；（主要方向：补充费用类数据后的结果验证；界面优化；）
2）瑞恒数据验证后的用户确认；
3）沟通MES数据问题及改进方案
4）考虑SAP月结后的成本数据抓取，及预测-实际数据对比的实现。
2、跨基地模型：
1）配合用户测试、完善市价模型。
2）配合用户测试、完善扬农本部+三基地合并求解。</t>
  </si>
  <si>
    <t>1、日成本效益测算：
1）继续配合用户，测试、验证数据，排查、解决问题；
2）根据瑞恒MES数据ETL表调整，完善相关取数逻辑；
2、预实对比：
1）SAP数据准备：
2）数据映射：梳理SAP生产订单、BOM数据与事前算赢平台物料、工艺数据的对应关系
3）预测-实际数据对比界面设计。
2、跨基地模型：
1）汇报中间体事业部近期项目工作，沟通下一阶段工作方向；
2）配合用户测试、完善市价模型。
3）配合用户测试、完善扬农本部+三基地合并求解。</t>
  </si>
  <si>
    <t>1、日成本效益测算：
1）继续配合用户，测试、验证数据，排查、解决问题；
2）梳理需用户补充的数据内容，设计数据填报界面开发方案；
2、预实对比：
1）数据准备：SAP采购、销售、生产数据，转入经营计划求解平台，相关存储过程开发；
2）数据映射：针对生产数据对应的特殊问题，设计处理方案；
3）功能开发：预实对比相关数据逻辑开发、界面设计。
2、跨基地模型：
1）确认瑞恒树脂盐水成本核算、分摊逻辑，模型相应调整；
2）梳理瑞祥工艺调整方案；
3）配合用户测试、完善市价模型、合并模型。</t>
  </si>
  <si>
    <t>1、日成本效益测算：
1）与用户确认数据填报内容及界面，完善需求、提交开发；
2、预实对比：
1）数据及映射：根据对比数据需要，调整数据，完善存储过程数据更新机制；
2）功能开发：预实对比相关数据逻辑开发、界面设计。
3、跨基地模型：
1）事前算赢模型优化设计方案内部专题讨论（周二下午）；
2）配合用户测试、完善市价模型、合并模型；</t>
  </si>
  <si>
    <t>1、日成本效益测算：
1）完成经营计划求解平台的数据填报界面开发，日成本平台数据抽取开发；
2、预实对比：
1）功能开发：设计、开发装置成本构成的数据对比界面，含原料单耗对比、制造费用对比。
2）用户试用沟通，探讨如何使用实际数据，复盘经营计划。
3、跨基地模型：
1）开始整理瑞祥模型的新增与变更；</t>
  </si>
  <si>
    <t>1、系统优化方案设计
1）参加化工事业部事前算赢研讨会
2）结合讨论内容、需求，梳理、补充事前算赢平台优化方案
2、日成本效益测算：
1）数据抽取、更新功能的集成测试与验证，配置和完善定时任务；
2）跟进用户测试的确认；
3、预实对比：
1）功能开发：完善预实对比界面，梳理、补充AB场景方案对比界面的数据对比项。
2）用户试用、功能调整。
3）初步研究使用实际数据复盘，功能设计、初步验证可行性。</t>
  </si>
  <si>
    <t>1、系统优化方案设计
1）继续完善、讨论事前算赢平台优化方案
2）补充了解产业园库存、大环氧产业链的库存及业务协同情况，分析与事前算赢的关联测算
2、日成本效益测算：
1）配置和完善定时任务；
2）界面完善，发布；
3、预实对比：
1）用户试用、功能调整与完善；
2）梳理、补充AB场景方案对比界面的数据对比项
4、梳理、了解各公司事前算赢线上化的方案、计划（高纤、河北、工塑）</t>
  </si>
  <si>
    <t>1、系统优化方案设计
1）继续讨论、完善事前算赢平台优化方案
2、推广实施
1）中化河北事前算赢推广，前期沟通、调研
2）根据调研情况，制定实施方案、计划
3、日成本效益测算：
1）配置和完善定时任务；
2）界面完善，发布；
3）初步检查瑞祥、瑞泰MES数据</t>
  </si>
  <si>
    <t>1、系统优化方案设计
1）确定的局部优化点处理
2）中间体市价模型界面优化需求分析
2、河北3家工厂调研
1）物料&amp;装置工艺梳理前沟通
2）下发物料&amp;装置工艺&amp;投入产出数据搜集模版</t>
  </si>
  <si>
    <t>1、系统优化方案设计
1）继续讨论、完善事前算赢平台优化方案
2、河北三家工厂基础数据收集与梳理
1)初步计划&amp;总体调研_250918文档三家公司各填写一份问题清单解答
2)三家需提供工艺工序流程图(各家自己准备)
3)三家需提供模板12文档的基础数据材料</t>
  </si>
  <si>
    <t>1、系统优化方案设计
1）瑞恒事前算赢平台汇报、方案沟通
2、河北三家工厂数据收集与梳理
1）滏鼎、鑫宝数据表模板12收集
2) 滏恒三个材料都需收集
3) 计划本周三会议沟通下一步业务数据采集要求规范与提交数据时间节点(计划下下周三22号)</t>
  </si>
  <si>
    <t>1、系统优化方案设计
1）讨论优化内容、工作计划和分工
2、鑫宝事前算赢推广
1）协助建立模型、测试验证</t>
  </si>
  <si>
    <t>1、系统优化方案设计
1）瑞恒模型优化工作沟通
2）开通瑞恒领导层操作账号
2、河北三家事前算赢推广
1）线下建立鑫宝的模型、测试验证
2）喹啉工序子工序3继续划分，详细情况沟通梳理，需日成本反推分摊系数比例。
3）根据调研内容进行相应问题梳理</t>
  </si>
  <si>
    <t>1、系统优化方案设计
1）瑞恒装置负荷-单耗分析方案，用户沟通讨论
2）迁移到一体化平台的，相关技术了解、培训
3）瑞恒组建项目组
2、鑫宝事前算赢推广
1）完善鑫宝模型数据
2）制定河北三家工厂实施方案、计划</t>
  </si>
  <si>
    <t>1、系统优化方案设计
1）瑞恒装置负荷-单耗分析方案，用户沟通讨论
2）迁移到一体化平台的，相关技术了解、培训
2、事前算赢推广
1）编制河北三家工厂实施方案、计划</t>
  </si>
  <si>
    <t xml:space="preserve">1、系统优化方案设计
1）装置负荷-单耗分析方案完善、详细设计
2）迁移到一体化平台的，相关技术了解、培训
</t>
  </si>
  <si>
    <t>1、系统优化方案设计
1）装置负荷-单耗分析方案，取数、DEMO设计
2）测试、验证迁移方案</t>
  </si>
  <si>
    <t>1、系统优化方案设计
1）迁移到一体化平台：完成界面风格调整，及权限配置，内部测试
2）装置负荷-单耗分析方案，DEMO设计</t>
  </si>
  <si>
    <t>三期(中间体):2025/3/28
三期(推广):待定</t>
  </si>
  <si>
    <t>三期(中间体):2025/4/30
三期(推广):待定</t>
  </si>
  <si>
    <t>三期(中间体):2025/7/31
三期(推广):待定</t>
  </si>
  <si>
    <t>三期(中间体):2025/10/31
三期(推广):待定</t>
  </si>
  <si>
    <t>1、环氧事业部推广：
1）南通星辰、扬农锦湖继续测试模型、验证数据；
2）明确扬农锦湖各业务数据填报最终用户，完成测试环境用户角色权限配置、开通用户账号、配置数据权限；
3）准备最终用户培训材料，排定培训计划；
2、中间体事业部运维与改进：
1）中间体12月模型运行保障；瑞泰公司乙酯装置改产甲酯，沟通具体需求，完成系统相关调整、测试
2）SAP历史作业成本数据梳理、核对；
3、对集团数字化部沈总，作经营计划求解平台专题汇报。</t>
  </si>
  <si>
    <t>1、环氧事业部推广：
1）完成南通星辰、扬农锦湖最终用户培训，试运行安排；
2）瑞恒公司环氧相关数据剥离，设计方案、开发；
2、中间体事业部运维与改进：
1）瑞恒简化版测算界面测试反馈、沟通、完善；
2）完善未排产产品的成本测算算法；
3）发布到生产环境：环氧推广开发内容、简化版模型开发内容；
3、MES集成沟通，确定集成方案，梳理取数内容，制定开发计划。</t>
  </si>
  <si>
    <t>1、环氧事业部推广：
1）试运行保障，本周完成南通星辰、扬农锦湖月度填报及模型测算；
2）设计实际数据导入验证操作方案；
3）完善瑞恒公司环氧相关数据剥离算法；
2、中间体事业部运维与改进：
1）与财务讨论瑞恒简化测算方案；
2）开发市价模式下，各装置不同负荷盈利测算页面；考虑按产品系列分组统计；考虑装置停车损失的计算方案；
3、MES集成开发：沟通开发方式及分工、费用问题。
4、化工事业部虚拟服务器安装、调试。</t>
  </si>
  <si>
    <t>1、环氧事业部推广：
1）试运行保障，本周完成南通星辰、扬农锦湖周度填报及模型测算；
2）扬农锦湖模型运行结果与线下预测基本符合。南通星辰试运行结果的分析与差异排查：主要差异是填报的销售价偏低、销售量限制未填写、部分原料采购价缺失等，修正后基本相符。
3）南通星辰数据及配置完善，部分采购原料的填报部门调整；
4）生产环境切换准备，配置角色与用户权限，程序更新；
2、中间体事业部运维与改进：
1）开发完成单装置市价模式下成本利润预算报表、分产品系统汇总统计，周度测算等新功能部署、试用、讨论；
2）瑞泰模型特许权使用费、销售代理费、销售运费等问题沟通讨论，确定处理方案；
3）装置停车损失的模型计算方案沟通，开始设计、开发；
3、MES集成开发沟通、推进：数据库账号、客户端账号开通，连通性测试，集成开发计划沟通。
4、化工事业部虚拟服务器安装、调试。</t>
  </si>
  <si>
    <t>1、环氧事业部推广：
1）南通星辰完成1月预测数据的模型测试，并对比运行结果；
2）部署正式环境：将测试环境数据迁移到正式环境，完成正式环境用户角色与数据权限配置；
3）配置瑞恒公司环氧相关装置数据，对星辰用户开放查看与操作权限；
2、中间体事业部运维与改进：
1）设计装置停车损失的计算方案、是否停车的决策逻辑，内部沟通；
2）功能扩充：采购填报中，支持部分物料自动引用销售价；
3）跟进新部署功能的试用、反馈；
3、MES集成开发：确定集成开发计划，MES项目组本周提供基础数据类的表及视图。</t>
  </si>
  <si>
    <t>1、环氧事业部推广：
1）编写项目实施总结材料；
2）跟进正式系统的使用，系统运行保障；
2、中间体事业部运维与改进：
1）讨论瑞恒公司装置停车损失的计算方案、是否停车的决策逻辑，确定方案，着手开发；
2）2025年项目推进计划，汇报材料编写；
3、MES集成开发：梳理MES项目组提供的数据视图、数据结构，疑问沟通，讨论数仓开发方案。</t>
  </si>
  <si>
    <t>1、环氧事业部推广：
1）编写项目实施总结材料；
2）跟进正式系统的使用，系统运行保障；
2、中间体事业部运维与改进：
1）装置停车损失的计算方案，完成算法开发、初步验证，界面调整开发基本完成；
2）2025年项目推进计划汇报（推迟到下周）；
3）与扬农生产部冯总沟通、试用平台功能
3、MES集成开发：生产计划视图疑问沟通；取数开发。</t>
  </si>
  <si>
    <t>1、给兰总汇报项目进展，及2025年项目推进计划；
2、中间体装置停车损失的计算方案，完成界面调整开发，组织用户测试、验证、完善，部署到正式环境；（停车损失数据梳理，待确认）
3、MES集成开发：协调MES数据疑问，跟进取数开发进度，考虑后续数据应用。</t>
  </si>
  <si>
    <t>1、完善简化版操作界面，开通中间体事业部领导层使用权限
2、协助瑞恒2月模型运行，测试停车损失纳入模型后的计算、验证
3、南通星辰生产环境运行保障，周度数据采集
4、2025年项目推进工作再梳理。</t>
  </si>
  <si>
    <t xml:space="preserve"> 1、跟进中间体事业部简化版使用反馈，优化生产负荷手动调整操作，增加采购销售价格联动，增加采购、销售数据的AB场景对比；
2、沟通2025年中间体、环氧树脂事业部实施计划，评估三期工作内容、立项准备
3、与运营驾驶舱项目需求结合，梳理模拟结转算法及业务数据需求；
4、完成瑞恒MES数据抽取到化数仓，配置定时同步任务，准备物料、装置对应。</t>
  </si>
  <si>
    <t>1、继续评估三期工作内容、产业链推广实施计划、资源与费用，准备立项材料。
2、梳理、讨论模拟结转功能数据需求与计算方案，结合运营驾驶舱项目数据需求，梳理ERP业务取数范围。
3、完善平台功能：AB场景对比操作方式改进，采购销售对比界面完善；
4、2024年项目工作归档</t>
  </si>
  <si>
    <t>1、拟定三期项目实施计划，完成一版立项材料。
2、简化版界面优化，中间体、环氧3月模型运行保障。
3、跨基地求解准备，着手梳理中间体产业链产品结构及关联关系。
4、与卓创沟通接口取数问题
5、设计MES、ERP等基础数据映射关系、维护方式；</t>
  </si>
  <si>
    <t>1、三期项目计划讨论、立项材料完善。
2、数据集成准备：梳理化工事业部各产业链、企业应用系统情况（ERP/MES/SRM/CRM）。
3、数据集成准备：结合运营指标体系需求，初步梳理并讨论数据来源、SAP数据范围、数据结构。
4、协助排查瑞恒模型数据差异问题（氯气成本分摊模式变更引起，下月协助调整工艺数据）</t>
  </si>
  <si>
    <t>1、三期项目立项申报。
2、结合运营指标穿透项目，梳理数据指标、调研ERP、MES等业务系统数据，设计数据抽取格式与规范（完成MES）。
3、解决瑞恒模型树脂盐水成本核算方式，研究模型调整方案、测试、部署。
4、中间体事业部跨基地求解需求初步梳理</t>
  </si>
  <si>
    <t>1、三期项目立项申报流程完成，准备三期项目启动会材料、中间体启动会材料。
2、跨基地模型：与中间体事业部财务沟通跨基地求解需求，初步设计系统实现方案；着手梳理扬农本部业务、中间体内部关联交易数据。
3、推广实施：梳理推广实施流程，完善有关模板与文档。
4、结合运营指标穿透项目，协助设计ERP数据抽取格式与规范。</t>
  </si>
  <si>
    <t>1、组织召开三期项目中间体事业部启动会，确定项目组织、生产营销等业务用户。
2、跨基地模型：按初步方案，开始总体设计。
3、推广实施：继续完善实施模板与文档。
4、调研瑞恒MES系统中，日成本数据来源及计算逻辑；结合运营指标穿透项目，协助设计ERP数据抽取格式与规范。
5、运维优化：简化版界面、市价模式报表界面优化；协助分析瑞恒3月线上测算结果与滚测数据的差异问题（装置单耗差异；线下滚测公用工程费用未平衡？）；导出装置单耗数据给用户核对；</t>
  </si>
  <si>
    <t>1、结合运营指标穿透项目，设计、讨论装置产品日成本实现方案。
2、跨基地模型：开始跨基地求解功能设计。
3、推广实施：完成梳理实施推广流程及模板文档。
4、运维优化：跟进瑞恒单耗数据核对、更新。
5、联系营销部门，梳理外部价格取值逻辑及参考清单。</t>
  </si>
  <si>
    <t>1、日成本方案细节讨论，补充调研瑞恒MES算法、了解应用效果。
2、跨基地模型：继续跨基地求解功能设计，梳理算法调整及界面开发内容；测试多基地合并后的求解速度，研究求解模型数据优化方案。
3、调整推广实施计划，IT内部培训平台功能、推广实施流程。
4、跟进营销部门外部价格取值逻辑及参考清单梳理，收集到部分数据。</t>
  </si>
  <si>
    <t>1、结合经营分析平台项目，参与总部、中间体事业部业务部门调研，了解业务现状与需求：采购、销售、生产、财务。
2、跨基地模型：与中间体事业部沟通方案、完善细节，开始数据结构调整及算法功能开发；跟进扬农本部业务、中间体内部关联交易数据梳理。
3、内部沟通帆软平台开发内容，及扩展功能开发思路。
4、跟进营销部门外部价格取值逻辑及参考清单梳理。</t>
  </si>
  <si>
    <t>1、日成本方案：与财务用户、IBM顾问沟通、研讨日成本、日效益测算方案，明确求解平台测算方案。
2、跨基地模型：总体方案讨论、确认；完成数据结构调整，继续算法功能设计、开发；界面设计方案细化；了解物流费用管理方案；完成一版扬农本部业务、中间体内部关联业务数据梳理。
3、内外部取数：细化内外部取数的工作内容。
4、运维优化：收集完成瑞恒单耗更新数据；协助瑞恒模型差异分析，部分工艺及成本模式调整待沟通确认。</t>
  </si>
  <si>
    <t>1、日成本方案：结合SAP数据结构，细化日成本、日效益测算方案。
2、跨基地模型：继续算法功能开发；评估内部团队完成界面开发的工作量和计划；扬农本部业务、中间体内部关联业务梳理，疑问沟通。
3、内外部取数：内部讨论内外部取数沟通，梳理取数相关工作，针对事前算赢、日成本计算需求，梳理、设计ERP各类业务数据结构及取数要求。
4、运维优化：瑞恒工艺完善问题讨论、协助用户调整，单耗数据更新。（用户月结，转到下周讨论）</t>
  </si>
  <si>
    <t>1、日成本方案：针对日成本、日效益测算，协同SAP顾问沟通内外部取数范围、方案，梳理、设计SAP各类业务数据结构及取数、计算逻辑，待SAP顾问补充确认后开始ETL开发。
2、跨基地模型：继续算法功能开发，开始界面开发；沟通、讨论瑞恒模型完善问题，确定一批工艺调整项； 结合关联业务，梳理瑞祥、瑞泰模型数据，导出工艺单耗数据给属地核对。
3、内外部取数：准备中间体价格数据项目，跟进卓创商务洽谈进展。
4、运维优化：沟通瑞恒工艺完善问题，协助用户调整。</t>
  </si>
  <si>
    <t>1、日成本方案：协同经营分析项目组，研讨日成本收益方案；结合指标说明书要求，梳理、完善SAP各类业务数据结构及取数、计算逻辑。
2、跨基地模型：与瑞恒、瑞祥、瑞泰沟通模型疑问、工艺调整及完善问题，讨论关联业务及特殊问题：特许权使用费、委托研发费，创建扬农本部模型；继续算法功能开发、帆软报表界面开发，完成跨基地关联求解主体功能开发，初步内部测试。
3、内外部取数：结合指标说明书要求，梳理、完善SAP各类业务数据结构及取数、计算逻辑；梳理完成中间体外部价格采集项目，跟进卓创商务、技术对接。</t>
  </si>
  <si>
    <t>1、与运营分析项目结合进行，参与产业链业务研讨（环氧树脂、中间体、工塑）。
2、跨基地模型：与瑞恒生产用户沟通工艺调整问题，梳理调整方案，完善模型（双氧水多装置核算、固体树脂成本结构调整、空分装置液气转换设置、蒸汽/电/氢气的分类消耗等）；继续算法功能开发、帆软报表界面开发，演示、讨论跨基地求解操作界面。
3、外部价格集成：补充中间体产品原料，确认化工事业部卓创价格取数清单，落实合同、付款方式。
4、根据生产用户核对，更新瑞恒装置产能、单耗等数据。</t>
  </si>
  <si>
    <t>1、日成本方案：结合运营分析平台项目，沟通讨论日成本效益测算的落地方案、用户界面实现方式。（待定，中化信息与IBM继续沟通，参考已实践过的方案）
2、跨基地模型：继续帆软报表界面开发与完善，结合瑞恒工艺调整、扬农本部业务数据，继续测试、完善算法功能；继续完善瑞恒工艺、模型，讨论、明确蒸汽、氢气的产出消耗及核算方法；沟通扬农本部业务及内部关联加工业务（重点：二氯苯加工业务），梳理数据导入系统；梳理瑞祥工艺调整事项（瑞祥湿氧装置近期建设中，会造成整体工艺的较大变化）
3、外部价格集成：合同及付款事项确定，提前开通数据接口，完成接口取数开发。</t>
  </si>
  <si>
    <t>1、日成本方案：着手梳理逻辑、编写日成本效益FS文档。
2、跨基地模型：瑞恒工艺调整后的试用、验证与完善，对比模型预测与线下滚测结果，毛利差异较大，分析差异原因（主要是：毛利算法不同、单耗数据差异）；继续算法功能完善、界面开发，分析难点问题，研究求解速度提升方案。
3、研究中间体事业部三个月滚动预测的计算逻辑，初步评估在求解平台的实现方案。</t>
  </si>
  <si>
    <t>1、日成本效益测算：配合一体化经营管理项目组瑞恒调研；完成日成本效益测算方案编写，与一体化项目组、财务用户沟通测算逻辑、确定实现方案及分工。
2、跨基地模型：协助用户分析瑞恒模型与滚测的差异，按滚测的计算逻辑，补充模型中的算法和显示结果；按瑞泰用户提供数据，更新系统中工艺单耗，协助用户验证模型结果；继续算法功能完善、界面开发，提升求解速度。</t>
  </si>
  <si>
    <t>1、日成本效益测算：
1）与中间体财务讨论日成本效益测算方案及待定问题，根据反馈意见调整、补充测算逻辑；
2）按照718瑞恒上线，制定整体开发计划；开始数据结构和算法设计；开始业务数据ETL开发；
3）梳理瑞恒MES数据，物料、装置工艺与事前算赢平台数据建立对应关系。
2、跨基地模型：讨论瑞祥工艺调整情况，暂定先在系统中调整二氯苯工艺，和扬农本部模型一致（因瑞祥部分生产装置、公用工程装置正在建设中，系统中暂不调整，待实际装置改造完成后再更新系统中工艺模型）。</t>
  </si>
  <si>
    <t>1、日成本效益测算：
1）与中间体财务沟通方案及计划（考虑可能存在系统数据录入及时性、完整性、准确性问题，开发后需用前月数据进行测算，与实际利润对比验证）
2）整理瑞恒MES数据，生成装置基础数据，及日度装置投入产出数据
3）梳理MES与事前算赢平台数据的映射关系，导入装置月度固定费用、期间费用数据
4）梳理MES与SAP物料数据的映射关系（存在产品规格划分不一致、产销不对应、部分物料不能对应SAP物料等问题，研究处理方案）
5）SAP采销存数据ETL开发，初步验证数据（汇率转换、非原料采购订单等问题，待完善）
6）日成本模型数据结构设计，场景生成、成本效益测算功能开发。
2、跨基地模型：程序、数据部署到生产环境，开放用户测试；沟通市价模型需求，沟通装置组合的负荷设定及对比功能需求，实现方案设计。</t>
  </si>
  <si>
    <t>1、日成本效益测算：
1）完善日成本模型数据结构和算法功能；
2）核对MES数据，核对SAP业务数据，完善ETL功能开发；
3）设计、提供界面开发取数SQL、技术说明文档，与中化信息开发人员沟通。
2、跨基地模型：协助各基地月度模型运行，配合用户测试扬农本部+三基地合并求解；确定市价模型扩展功能方案，设计实现方案。</t>
  </si>
  <si>
    <t>1、日成本效益测算：
1）测试培训，说明模型取数及计算逻辑；组织、协同财务用户，测试、验证日成本效益报表测算结果；
2）根据用户反馈，完善界面设计，分析、排查数据问题，完善日成本模型数据处理、计算逻辑；
3）核对MES数据，核对SAP业务数据，完善ETL功能开发；
4）数据验证中，排查出MES生产数据与SAP数据的几处差异，设计处理方案。
2、跨基地模型：
1）协助各基地月度模型运行，配合用户测试扬农本部+三基地合并求解。
2）导出瑞恒单耗数据，供用户核对、更新。
3）市价模型界面调整需求讨论，着手修改。</t>
  </si>
  <si>
    <t>1、日成本效益测算：
1）继续配合用户，测试、验证数据，排查、解决问题，完善功能与界面；（主要完善：讨论期初、产值、边贡等计算逻辑并调整；月度划分的日期，调整为SAP月结日期；）
2）日成本效益测算功能718暂不上线，继续配合用户测试完善。
2、跨基地模型：
1）按用户核对结果，更新、补充瑞恒装置单耗数据。
2）与中间体、瑞恒财务用户讨论瑞恒市价模型报表需求，调整数据架构及报表界面
3）配合用户测试扬农本部+三基地合并求解。</t>
  </si>
  <si>
    <t>1、日成本效益测算：
1）继续配合用户测试、验证数据，排查、解决问题；（主要完善：详细核对、处理MES装置投入产出数据与SAP的差异，部分数据缺失待与MES用户沟通；讨论确定仓储费、销售运费、停车损失等大额费用在日成本模型中的处理方案；补充收集以上费用的数据，调整模型计算逻辑；补充生成4月、5月日成本模型数据，协同财务用户验证、分析差异；梳理MES数据问题、治理需求）
2）整理日成本效益模型开发落地进展，准备下周汇报材料。
2、跨基地模型：
1）导出瑞恒装置产能数据，联系生产用户核对、更新。
2）继续瑞恒市价模型扩展功能开发，数据架构及报表界面调整。
3）配合用户测试扬农本部+三基地合并求解。</t>
  </si>
  <si>
    <t>1、日成本效益测算：
1）继续配合用户测试、验证4月、5月日成本模型数据；
2）汇报日成本效益模型开发落地进展；
3）整理导入瑞恒4-8月测算配置数据（产品单吨运费、产品分摊仓储费、停车损失预估、盐酸单吨处置费）；
4）分析原料跨期发票差异对成本测算的影响，补充取数及测算逻辑；
5）模型中增加新增的费用数据的测算功能及结果展示；（运费、仓储费、停车损失、盐酸处置费）
2、跨基地模型：
1）继续瑞恒市价模型扩展功能开发，完成排产方案维护、对比功能及界面，设计市价维护界面。</t>
  </si>
  <si>
    <t>1、日成本效益测算：
1）继续配合用户，测试、验证数据，排查、解决问题；
2）瑞恒MES数据：与MES顾问、用户沟通MES数据问题，讨论数据治理及改进方案
3）预实对比：考虑SAP月结后的成本数据抓取，及预测-实际数据对比的实现，制定开发计划及工作分工。
2、跨基地模型：
1）配合用户测试、完善市价模型，讨论瑞恒模型中树脂盐水核算方案。
2）了解瑞祥生产装置调整情况，讨论模型调整方案
3）梳理近期项目工作，及下一阶段工作方向</t>
  </si>
  <si>
    <t>1、日成本效益测算：
1）配合用户测试、验证4-7月数据，重点验证新加入的运费、仓储费、停车损失费等预估费用及计算逻辑；
2）根据瑞恒MES数据ETL表调整，完成相关取数逻辑的修改；
3）配合MES项目组，讨论瑞恒MES主数据治理问题；
2、预实对比：
1）SAP数据准备：获取一体化项目有关生产订单产生、消耗、费用数据，检查数据完整性，与项目组沟通完善；
2）数据映射：梳理SAP生产订单、BOM数据与事前算赢平台物料、工艺数据的对应关系
3）预测-实际数据对比界面方案设计。
2、跨基地模型：
1）汇报中间体事业部近期项目工作，讨论中间体模型应用情况，及后续工作计划；
2）市价模型功能部署到正式环境，配合用户测试、完善。
3）讨论、测试瑞恒树脂盐水成本核算、分摊逻辑。</t>
  </si>
  <si>
    <t>1、日成本效益测算：
1）配合用户，测试、验证数据，排查、解决问题；
2）梳理需用户补充的数据内容，设计数据填报界面开发方案：月度 期间费用填报、月度物料成本费用填报（含仓储费、停车损失费、销售运费、盐酸处置费）；
2、预实对比：
1）数据准备：SAP采购、销售、生产数据，转入经营计划求解平台，相关存储过程开发（基本完成）；
2）数据映射：针对生产数据对应的特殊问题，设计处理方案（通过工单的BOM与事前算赢模型的工艺对应，无法自动对应的再进行手工对应）；
3）功能开发：预实对比相关数据逻辑开发（进行中）。
3、跨基地模型：
1）市价模型功能及界面完善，部署到正式环境；
2）兰总瑞恒调研，讨论事前算赢、日效益测算应用问题。</t>
  </si>
  <si>
    <t>1、日成本效益测算：
1）整理需补充填报的月度数据，设计填报界面，与用户确认内容、格式、填报时间（为方便用户操作，拟在经营计划求解平台开发填报界面，用户填报后，抽取到一体化平台）；
2、预实对比：
1）数据及映射：抽取25年1-8月瑞恒SAP采购、销售、生产数据到经营计划求解平台；建立、完善数据更新机制；
2）功能开发：设计、开发完成预估数据偏离分析报表界面，完成：采购、销售的价、量、上下限对比；生产订单的产量及上下限、产品成本的对比分析；开放财务用户试用。
3、跨基地模型：
1）事前算赢模型优化设计方案内部专题讨论，IT、财务用户讨论现有问题，初步探讨平台优化与推进方向；
2）根据试用反馈，优化市价模型界面</t>
  </si>
  <si>
    <t>1、日成本效益测算：
1）完成经营计划求解平台的数据填报界面开发（分摊到物料的月度 仓储费、停车损失费、环保处置费预估）；
2）梳理各平台所需填报数据（事前算赢、日成本效益、一体化平台）
2、预实对比：
1）功能开发：设计、开发装置成本构成的数据对比界面，含原料单耗对比、制造费用对比（功能基本完成，界面待进一步完善）。
2）用户试用沟通，探讨如何使用实际数据，复盘经营计划（暂定：使用实际价格代入模型，求解最优排产方案，与实际生产方案对比）。
3、跨基地模型：
1）初步梳理、讨论事前算赢改进方案，暂定方向：细化采购、销售预测数据（含价、量，及相关关系）；优化用户操作、错误提示、方案对比的呈现；补充产业园库存、在途、期货等数据；
2）了解基于历史数据及关联因素的价格预测模型；</t>
  </si>
  <si>
    <t>1、系统优化方案设计
1）参加化工事业部事前算赢研讨会，收集用户意见
2）与中化信息交流事前算赢平台功能，及中化能源、星火有机硅实施实践
3）内部梳理、讨论、补充事前算赢平台优化方向，形成初步优化方案
2、日成本效益测算：
1）完成用户测试的确认；
2）数据填报功能部署到事前算赢平台，数据抽取、更新功能的集成测试与验证；
3、预实对比：
1）功能开发：完善预实对比界面，增加原料单耗、固定费用的对比。
2）初步研究使用实际数据复盘，功能设计、初步验证可行性。</t>
  </si>
  <si>
    <t>1、系统优化方案设计
1）讨论、完善事前算赢平台优化方案
2）补充了解产业园库存、大环氧产业链的库存及业务协同情况，分析与事前算赢的关联测算
2、更新、完善
1）瑞祥模型变更，对照SAP中BOM与生产订单数据
2）市价模型更新：改为按标准固定制造费用测算，调整取数、测试
3、推广实施
1）梳理推广实施相关流程文档、资料
2）初步了解中化河北产品成本测算现状，准备调研内容、推广计划</t>
  </si>
  <si>
    <t>1、系统优化方案设计
1）继续讨论、完善事前算赢平台优化方案
2）梳理当前可实现的优化点、待与业务部门沟通的优化点
2、河北新材现场沟通
1）事前算赢平台功能介绍
2）河北新材线下手工表沟通</t>
  </si>
  <si>
    <t>1、系统优化方案设计
1）继续讨论、完善事前算赢平台优化方案
2、完成河北3家工厂调研
1）完成物料&amp;装置工艺梳理前沟通
2）完成下发物料&amp;装置工艺&amp;投入产出数据搜集模版</t>
  </si>
  <si>
    <t>1、系统优化方案设计
1）继续讨论、完善事前算赢平台优化方案，准备汇报材料
2）市价模型调整：固定制造费用中，除括人工、折旧外，其他费用转到变动投入
3）协助瑞泰月度测算问题排查
2、河北三家数据收集与梳理
1) 滏鼎、鑫宝提供数据表，核对后发现数据不合规范较多，已会议沟通要求更新数据表，两家问题清单与工艺工序流程图已经提供，数据要求按最新沟通有问题修正后于下周一下班前提供
2) 滏恒材料都没有提供完成，会议上已说明下周一下班前需都提供</t>
  </si>
  <si>
    <t>1、系统优化方案设计
1）瑞恒事前算赢平台汇报、方案沟通
2）根据讨论结果，梳理下一步优化内容
2、鑫宝事前算赢推广
1）协助调研、梳理生产成本基础数据，设计特殊问题处理方案
2）协助用户填报内容的培训、沟通</t>
  </si>
  <si>
    <t>1、系统优化方案设计
1）瑞恒市价模型调整需求沟通
2、河北三家前算赢推广
1）三家数据初步收集一版完成，数据完成校验与处理
2）鑫宝复杂工序沟通梳理，初版流程图已经画好，根据沟通情况仍需补充子工序</t>
  </si>
  <si>
    <t>1、系统优化方案设计
1）开通瑞恒领导层操作账号；
2）使用瑞恒MES数据、校准模型单耗的方案设计；
3）迁移到一体化平台的方案准备
2、鑫宝事前算赢推广
1）沟通鑫宝工艺特殊问题，单耗设置、多产品成本分摊规则等
2）了解滏恒、滏鼎工艺，及三工厂物料流转情况（滏恒、滏鼎工艺较简单，使用到鑫宝的产品）</t>
  </si>
  <si>
    <t>1、系统优化方案设计
1）沟通瑞恒市价模型调整需求
2）瑞恒装置负荷-单耗分析方案，征求生产用户意见
2、鑫宝事前算赢推广
1）完善鑫宝模型数据
2）着手制定河北三家工厂实施方案、计划</t>
  </si>
  <si>
    <t>1、系统优化方案设计
1）瑞恒装置负荷-单耗分析方案，与生产用户沟通、征求意见
2）沟通瑞泰模型调整问题
2、鑫宝事前算赢推广
1）编制、完善河北三家工厂实施方案、计划</t>
  </si>
  <si>
    <t>1、系统优化方案设计
1）装置负荷-单耗分析方案完善、详细设计
2）迁移到一体化平台的相关技术沟通，了解、测试迁移方案，整理角色、权限配置，对比新老平台权限控制方式差异，跨库访问网络权限配置
2、鑫宝事前算赢推广
1）方案完善，并入四期项目</t>
  </si>
  <si>
    <t>1、系统优化方案设计
1）迁移到一体化平台：测试、验证迁移方案，确定权限控制方案，开始界面风格调整
2）装置负荷-单耗分析方案，事前算赢模型-MES投入项对应关系梳理</t>
  </si>
  <si>
    <t>三期(中间体):2025/3/28</t>
  </si>
  <si>
    <t>统一HR系统
一期&amp;二期</t>
  </si>
  <si>
    <t>蒋兰萍</t>
  </si>
  <si>
    <t>BIP结合预算编制与人力部门确认，总部统筹一部分预算</t>
  </si>
  <si>
    <t>1、一期目标相关
   1）完成HR业务流程方案确认
   2） 考勤、绩效应用场景测试跟踪 
   3）一阶段目标内容商务沟通会
2、薪酬上报相关
      1） 薪酬上报方案待HR确认
      2） 2024年11月国资委数据上报支持
3、确认个性化需求清单与初步解决方案</t>
  </si>
  <si>
    <t>1、一期目标相关
   1）完成HR业务流程方案确认
   2） 统一流程需求评估及报价沟通
2、薪酬上报相关
      1）薪酬上报方案更新确认
      2） 2024年11月国资委数据上报支持
3、针对个性化评估进行逐项沟通（与企业、项目组）</t>
  </si>
  <si>
    <t>1、一期目标相关
   1）标准化实施组织最终用户培训
   2）一阶段目标内容再一轮商务沟通
2、薪酬上报相关
    对更新的薪酬上报方案确认</t>
  </si>
  <si>
    <t xml:space="preserve">1、一期目标相关
   1）标准化实施组织最终用户培训（待上线报告签订后进行）
   2）业务流程方案沟通、确认等
2、薪酬上报相关
   1） 对再次更新的薪酬上报方案确认
   2）支持12月各单位薪资发放单维护及国资委上报
3、二阶段个性化推进（需求细化沟通）
</t>
  </si>
  <si>
    <t>1、一期目标相关
   开展流程实施工作及国资委上报取数实施工作
2、薪酬上报相关
    支持12月各单位薪资发放单维护及国资委上报
3、二阶段个性化推进
      持续进行个性化需求确认（未确认部分：国际：预算、薪酬及过账内容、 扬农：财务分摊内容）</t>
  </si>
  <si>
    <t xml:space="preserve">1、一期目标相关
   1）最终用户培训
   2）持续开展流程实施工作及国资委上报取数实施工作
2、薪酬上报相关
    支持12月各单位薪资发放单维护及国资委上报
3、二阶段个性化推进
      持续进行个性化需求确认（未确认部分：国际：预算、薪酬及过账内容、 扬农：财务分摊内容）
4、汇报PPT材料整理
</t>
  </si>
  <si>
    <t>1、一期目标相关
     1）持续开展流程实施工作及国资委上报取数实施工作
     2)  补充标准化实施：剩余绩效考核内容配置
     3）薪资项目公式、考勤相关规则持续确认
2、二阶段个性化推进
      持续进行个性化需求确认（未确认部分：国际：预算、薪酬及过账内容、 扬农：财务分摊内容）</t>
  </si>
  <si>
    <t>1、一期目标相关
     1）持续开展流程实施工作及国资委上报取数实施工作
     2)  补充标准化实施：支持测试
     3）薪资项目公式、考勤相关规则持续确认
2、二阶段个性化推进
      持续进行个性化需求确认（未确认部分：国际：预算及过账内容、 扬农：财务分摊内容）</t>
  </si>
  <si>
    <t>1、一期目标相关
     1）统一流程&amp;薪酬自动取数实施：测试详细时间安排及开发、陆续测试等
     2）薪酬标准功能详细讲解（总部HR陈聪总需参加）
2、二阶段个性化推进
     1）持续进行个性化需求沟通（未沟通确认部分： 扬农：财务分摊内容）
     2）根据前期梳理的总部个性化需求清单，总部HR进行详细确认（2周内完成）</t>
  </si>
  <si>
    <t>1、一期目标相关
     1）统一流程&amp;薪酬自动取数实施：开发、陆续测试等
     2）补充标准化实施：测试等
2、二阶段个性化推进
    1)薪酬审批方案沟通和确认
    2）个性化需求分类评估</t>
  </si>
  <si>
    <t>1、一期目标相关
     1）统一流程实施：开发、陆续测试等 
     2) 薪酬自动取数：安排使用培训
     3）补充标准化实施：联系用户安排集中测试等
2、薪资项目公式、考勤相关规则持续确认
3、二阶段个性化推进
    1)薪酬审批方案沟通和确认
    2）个性化需求分类评估</t>
  </si>
  <si>
    <t>1、一期目标相关
     1）统一流程实施：测试及问题解决等 
     2) 薪酬自动取数：安排使用培训等
     3）补充标准化实施：跟踪用户测试进度等
2、薪资项目公式、考勤相关规则持续确认
3、二阶段个性化推进
    1)薪酬审批方案沟通和确认
    2)个性化需求分类评估沟通等</t>
  </si>
  <si>
    <t>1、一期目标相关
     1）统一流程实施：测试及问题解决等 
     2) 薪酬自动取数：UAT测试培训及问题支持等
     3）补充标准化实施：跟踪用户测试进度等
2、薪资项目公式、考勤相关规则持续确认
3、二阶段个性化推进
    持续完善已确认需求工作量评估并和用户沟通确认</t>
  </si>
  <si>
    <t>1、一期目标相关
     1）统一流程实施：测试及问题解决等 
     2) 薪酬自动取数：UAT测试支持、推进上线等
     3）补充标准化实施：跟踪用户测试进度等
2、薪资项目公式、考勤相关规则持续确认
3、二阶段个性化推进
    持续完善已确认需求工作量评估并和用户沟通确认</t>
  </si>
  <si>
    <t>1、一期目标相关
     1）统一流程实施：测试及问题解决、需求变更沟通等
     2) 薪酬自动取数：推进上线
     3）补充标准化实施：跟踪用户测试进度等
2、二阶段个性化推进
    持续完善已确认需求工作量评估并和用户沟通确认</t>
  </si>
  <si>
    <t>1、一期目标相关
     1）统一流程实施：测试及问题解决、需求变更方案沟通、跟进下属单位用户测试等
     2) 薪酬自动取数：培训并推进上线
     3）补充标准化实施：跟踪用户测试进度等
2、二阶段个性化推进
    持续完善需求方案、评估沟通等</t>
  </si>
  <si>
    <t>1、一期目标相关
     1）统一流程实施：测试及问题解决、需求变更方案沟通、跟进下属单位用户测试等
     2) 薪酬自动取数：上线运维支持
2、二阶段个性化推进
     1）过账分摊方案沟通
     2）持续完善需求方案、评估沟通等</t>
  </si>
  <si>
    <t>1、一期目标相关
     1）统一流程实施：测试及问题解决、需求变更方案沟通、跟进下属单位用户测试、上线准备（审批人、事项办理矩阵收集）等
     2) 薪酬自动取数：上线运维支持
2、二阶段个性化推进
     1）国际SAPHR替换方案沟通会、与扬农南通圣奥关于BIP应用及迁移问题沟通会
     2）持续完善需求方案、评估沟通等
     3) 立项文档编写等</t>
  </si>
  <si>
    <t>1、一期目标相关
     1）统一流程实施：测试及问题解决、上线准备（请假额度、审批人、事项办理矩阵收集）等
     2) 薪酬自动取数：上线运维支持
2、二阶段个性化推进
     1）国际部分商务谈判、立项文档准备等
     2）扬农需求确认等</t>
  </si>
  <si>
    <t>1、一期目标相关
     1）统一流程实施：测试及问题解决、上线准备（请假额度、审批人、事项办理矩阵收集）等
2、二阶段个性化推进
     1）国际部分商务谈判、立项文档准备等
     2）扬农需求确认等</t>
  </si>
  <si>
    <t>1、一期目标相关
    统一流程实施：测试及问题解决、上线准备（请假额度、审批人、事项办理矩阵收集）、手册细化、培训
2、二阶段个性化推进
     1）国际个性化需求范围重新确认
     2）与扬农沟通会（沟通是否需要做个性化及个性化范围，薪酬条线主导，IT参加）</t>
  </si>
  <si>
    <t>1、一期目标相关
    统一流程上线跟踪及问题处理
2、二阶段个性化推进
     1）二期商务谈判及立项相关工作
     2）与扬农沟通会（沟通是否需要做个性化及个性化范围，薪酬条线主导，IT参加）</t>
  </si>
  <si>
    <t>1、一期目标相关
    统一流程上线跟踪及问题处理
2、二阶段个性化推进
     1）二期立项相关工作</t>
  </si>
  <si>
    <t>1、一期目标相关
    统一流程上线跟踪及问题处理
2、二阶段个性化推进
     1）二期立项相关工作
     2）与扬农沟通需求方案</t>
  </si>
  <si>
    <t>1、一期目标相关
    统一流程上线跟踪及问题处理
2、二阶段个性化推进
     1）二期立项相关工作
     2）扬农方案细化及沟通</t>
  </si>
  <si>
    <t>1、一期目标相关
    统一流程上线跟踪及问题处理
2、二阶段个性化推进
     1）二期立项流程跟踪、整理项目实施排期计划等
     2）扬农方案细化及沟通</t>
  </si>
  <si>
    <t>1、一期目标相关
    统一流程上线跟踪及问题处理
2、二阶段个性化推进
     1）二期商务流程
     2）确认二期项目整体需求方案</t>
  </si>
  <si>
    <t>1、一期目标相关
    统一流程上线跟踪及问题处理
2、二阶段个性化推进
     1）二期商务流程跟踪
     2）二期实施相关：
         a、跟进个性化需求用户确认
         b、整体开发方案编写
         c、工资发放审批功能开发
         d、员工信息新增信息数据收集等
         e、与用户关于商业保险、年金/安心计划流程需求沟通</t>
  </si>
  <si>
    <t>1、一期目标相关
    统一流程上线跟踪及问题处理
2、二阶段个性化推进
     1）二期商务流程跟踪
     2）二期实施相关：
          a、跟进个性化需求用户确认
          b、细化员工信息导入模板并和用户进行确认
          c、持续开发工资发放审批方案、考勤年假结转</t>
  </si>
  <si>
    <t>1、一期目标相关
    统一流程上线跟踪及问题处理；流转单办理事项收集及配置
2、二阶段个性化推进
    1) 持续开发工资发放审批方案
    2) 员工信息导入模板并和用户确认完后进行开发
    3) 细化员工变动分析统计表可用于开发的方案</t>
  </si>
  <si>
    <t>1、一期相关
    统一流程上线跟踪及问题处理；持续流转单办理事项收集及配置
2、二阶段个性化推进
     二期个性化（国际部分)
    1）持续开发工资发放审批功能，并进行内部测试、编写测试用例
    2）完善员工信息导入模板方案、完成用户确认
    3）完善薪资测算的细化开发方案并和用户进行确认
    4）开发个性化《变动统计报表》
    5）考勤年假结转仿真环境部署及内部测试
    扬农个性化
    1）梳理扬农需求方案及报价评估</t>
  </si>
  <si>
    <t>1、一期目标相关
    流转单问题跟踪处理；持续流转单办理事项收集及配置
2、二阶段个性化推进
     二期个性化（国际部分)
    1）工资发放审批功能完成内部测试、编写完成测试用例，预计下周末提交用户测试
     2）考勤年假结转功能完成内部测试、编写完成测试用例，提交用户测试
     3）员工信息导入模板详细方案与用户确认完后进行开发
     4）完善薪资测算的细化开发方案并和用户进行确认
    扬农个性化
    1）与扬农HR沟通个性化实施内容与方案
    2）评估扬农实施范围与工作量（预计8.8前完成评估）</t>
  </si>
  <si>
    <t>1、一期目标相关
    流转单问题跟踪处理
2、二阶段个性化推进
     二期个性化（国际部分)
   1） 薪酬审批功能、年假结转功能测试培训及用户测试
   2）模版方式导入功能开发
   3）薪酬测算功能方案编写
    扬农个性化
    1）与用户沟通扬农个性化方案并评估实施工作量（评估完成时间延至下周）</t>
  </si>
  <si>
    <t>1、一期目标相关
     1）流转单相关：
          a)入职、离职手工推送按钮功能测试上线
          b) 离职审批推送流转单功能变更确认、开发调整
     2）主兼岗调整可行性评估
2、二阶段个性化推进
     二期个性化（国际部分)
   1） 薪酬审批功能、年假结转功能用户测试
   2）模版方式导入功能开发
   3）薪酬测算功能方案编写
    扬农个性化
    1）扬农个性化报价沟通等</t>
  </si>
  <si>
    <t>1、一期目标相关
     1）流转单相关：
          离职审批推送流转单功能变更调整开发等
     2）主兼岗调整评估及方案沟通
2、二阶段个性化推进
     二期个性化（国际部分)
   1）年假结转功能UAT测试报告提交。
   2）薪酬审批功能发版生产进行配置，增补优化内容开发。
   3）模版导入的方案终稿确认完成，开发增加质检规则校验
   4）薪酬测算功能方案项目组评审
   5）所属产业链、岗位分类、薪资范围信息数据采集完成后初始化生产
    扬农个性化
    1）扬农个性化需求报价沟通等</t>
  </si>
  <si>
    <t>1、一期目标相关
     1）流转单相关：
          离职审批推送流转单功能变更调整开发、调动流转单功能完善等
     2）主兼岗调整方案沟通
2、二阶段个性化推进
     二期个性化（国际部分)
   a)  薪酬审批功能用户生产环境验证
   b) 模版导入功能项目组内部测试
   c）薪酬测算功能方案完成项目组评审，进入开发阶段
   d）薪资范围字段更新系统初始化数据
   e）所属产业链、岗位分类字段收集整理数据初始化系统
   f）《员工变动分析统计表》报表进入代码实现阶段</t>
  </si>
  <si>
    <t xml:space="preserve">1、一期目标相关
     1）流转单相关：
          离职移动端交接人填写控制，流转单接口日志查询BUG等
2、二阶段个性化推进
     二期个性化（国际部分)
     a)  薪酬审批功能客户新需求测试与发版上线。
     b）模版导入功能提交用户测试。
     c)   薪酬测算功能正式进入开发阶段
     d）所属产业链、岗位分类字段数据初始化系统
     e)《员工变动分析统计表》报表完成代码开发
</t>
  </si>
  <si>
    <t xml:space="preserve">   二期个性化（国际部分)
   a) 薪酬审批功能按薪酬范围查询统计功能开发完成。
   b) 模版导入功能用户测试
   c）薪酬测算功能开发完成并提交单元测试
   d) 所属产业链、岗位分类字段数据初始化系统
   e) 《员工变动分析统计表》报表模版配置
</t>
  </si>
  <si>
    <t xml:space="preserve">
   二期个性化（国际部分)
   1.薪酬审批中按薪酬范围查询统计功能提交用户测试
   2.模版导入功能用户测试与更改调整
   3.薪酬测算功能下周开发完成提交单元测试
   4.所属产业链、岗位分类字段收集整理数据初始化系统
   5.《员工变动分析统计表》报表完成单元测试</t>
  </si>
  <si>
    <t>二期个性化（国际部分)
   1、模版导入功能用户测试、问题调整
   2、薪酬测算功能提交用户测试
   3、《员工变动分析统计表》报表提交用户测试</t>
  </si>
  <si>
    <t xml:space="preserve">
   二期个性化（国际部分)
  1、模版导入功能根据用户反馈的问题进行优化调整并反馈用户进行复测。
  2、薪酬测算功能协助用户进行UAT测试。
  3、《员工变动分析统计表》协助用户进行UAT测试
  4、薪酬测算优化功能上线与报表优化上线</t>
  </si>
  <si>
    <t xml:space="preserve">
   二期个性化（国际部分)
  1）薪酬测算功能协助用户进行UAT测试及问题处理等</t>
  </si>
  <si>
    <t xml:space="preserve"> 二期个性化（国际部分)
   1.薪酬审批功能新需求开发
   2.薪酬测算功能协助UAT测试
</t>
  </si>
  <si>
    <t xml:space="preserve">   二期个性化（国际部分)
   1.薪酬审批功能新需求开发
   2.薪酬测算功能调整完成后签署测试报告，发版上线</t>
  </si>
  <si>
    <t xml:space="preserve"> 二期个性化（国际部分)
  1.薪酬审批功能协助用户使用、问题支持。
  2.薪酬测算功能协助用户试用、问题支持。
</t>
  </si>
  <si>
    <t>二期个性化（国际部分)
1、薪酬审批功能协助用户运行支持
2、薪酬测算功能协助用户运行支持，初始化固薪月数、奖金占比</t>
  </si>
  <si>
    <t>一期：2024/07
二期：2025/07</t>
  </si>
  <si>
    <t>一期：2024/09
二期(一阶段）：2025/05
二期（二阶段）：2025/7</t>
  </si>
  <si>
    <t>一期：2025/04
二期（一阶段）：2025/06
二期（二阶段）：2025/11</t>
  </si>
  <si>
    <t>一期：2025/06
二期：2026/02</t>
  </si>
  <si>
    <t>1、一期目标进展：
     1）化工事业部个性化及HR流程清单最终确认及评估
           a）统一流程需求发企业确认，基本确认完成，终稿待HR发项目组。
           b)  IT共享中心、总部HR与 中化信息进行一阶段目标内容商务沟通会 （统一流程待需求确认后重新评估）
           c)  扬农、南通星辰个性化评估下发企业。南通星辰反馈个性化需求内容确认，工作量评估待进一步沟通。
2、薪酬上报相关
     1）国资委报表2023年薪酬数据上报支持
           42/42家上周完成上报，本周主要进行核对修改支持。
     2）2024年11月发放单录入和国资委数据上报支持
         10/42完成上报（扬农、瑞恒、瑞泰、瑞祥、瑞泰、仪征、芮城、塑料、广东、河北锂电）
     3）薪酬上报方案待HR确认
          编写薪酬上报方案补充说明，并与总部HR开会沟通。
     目前结论：项目组目前提供的方案，HR不认可,需要项目组重新设计方案。</t>
  </si>
  <si>
    <t xml:space="preserve">1、一期目标进展：
     化工事业部个性化及HR流程清单最终确认及评估
           a）统一流程工作量重新评估完成(其中无法实现功能点沟通完成）
           b)  薪酬模块UAT测试报告 总部HR（代表整个化工事业部）已签字
2、薪酬上报相关
       薪酬上报方案更新版(及报价评估）沟通，需要改进点在测试验证中，计划下周与HR沟通确认   </t>
  </si>
  <si>
    <t>1、一期目标进展：
     1）化工事业部HR流程清单最终确认
           周四统一流程部分与项目组沟通会确认
     2）上线申请报告已发总部HR，待业务确认
     3）周二与中化信息商务沟通会（针对一阶段内容），关于总费用的待定事项中化信息暂未答复（中化信息内部在审核）
2、薪酬上报相关
       1）薪酬上报方案沟通修改
       与总部HR、扬农HR进行方案的会议沟通，已按照业务的最新需求，增加按照上报组织查询发放单进度报表，方案修改完成，待HR邮件确认。
       2）支持12月各单位薪资发放单维护
       支持鑫宝、中化医药完成12月发放单维护
3、二阶段个性化推进
    1）周四 总部HR、IT共享中心与项目组对国际组织人事、绩效、考勤部分的个性化需求进行沟通细化，以便可行性评估和工作量评估，薪酬部分暂未沟通（HR没时间）
    2）扬农、南通星辰的个性化梳理清单发给企业，暂未约到具体的沟通时间</t>
  </si>
  <si>
    <t>1、一期目标进展：
     1）化工事业部HR流程方案完成确认（HR签字完成）
     2）标准化补充实施、薪酬上报、HR流程需求费用确认完成，并完成工单确认已提交项目组
     3）标准功能上线申请报告（HR部完成签字）           
2、薪酬上报相关
       1）国资委薪酬上报方案完成确认（HR签字完成）
       2）支持12月各单位薪资发放单维护
       支持宁波润沃、瑞兆科、鑫宝等单位完成12月发放单维护
       3）薪酬上报自动取数实施排期完成（1月开发、2月上旬集中测试，2中旬UAT测试、2月下旬上线培训&amp;上线）
3、二阶段个性化推进
     1）周二扬农个性化需求细化沟通会，并更新可行性评估和工作量评估（其中财务分摊内容未确认）
     2）周四 南通星辰个性化需求细化沟通会，并更新可行性评估和工作量评估</t>
  </si>
  <si>
    <t>1、一期目标进展：
    1）HR流程实施
       a)完成HR流程实施主计划
       b)完成入职、转正单据配置、完成入职流转单流程及事项库搭建  
    2)  薪酬上报自动取数实施
        项目组内部与开发沟通同步需求
    3）4个非法人组织补充实施
       完成产业资源、工塑绩效规则配置（按照中化国际）
    4）薪资项目公式、考勤相关规则确认
     为保证各单位逐步在BIP系统中进行自动算薪、以及考勤流程在上线后的正常使用，提前确认各单位薪资项目公式逻辑、考勤项目规则等是否完善（泰安圣奥、河北新材料、无锡石化 确认完成）
2、薪酬上报相关
    支持12月各单位薪资发放单维护及国资委上报（滏恒、河北新材、中化科技、中化国际、宁波润沃、聚合物 完成）
3、一阶段项目进展及二期计划汇报材料整理（50%）</t>
  </si>
  <si>
    <t>1、一期目标进展：
    1）HR流程实施
         BIP：完成调动、离职、合同、证明单据配置，进行入职流程确认入职后触发oa入职流转单接口开发
         OA：完成人事管理模块流程的初步搭建工作，具备内部测试、开发条件
    2)  薪酬上报自动取数实施
        完成员工信息改造功能开发
    3）4个非法人组织补充实施
      4/4 绩效规则配置完成。本周完成科创中心、化工事业部绩效规则配置（按照中化国际）；
      完成化工事业部薪酬方案配置及测试
    4）薪资项目公式、考勤相关规则确认
     为保证各单位逐步在BIP系统中进行自动算薪、以及考勤流程在上线后的正常使用，提前确认各单位薪资项目公式逻辑、考勤项目规则等是否完善（4家确认完成，本周完成中化高纤确认）
     5)  上线报告签署、考勤、绩效标准化功能切换上线
     6） 周五下午最终用户培训（考勤、绩效、薪酬模块）
2、薪酬上报相关
    支持12月各单位薪资发放单维护及国资委上报（42/42 完成）
3、一阶段项目进展及二期计划PPT汇报材料整理，初稿已上报
4、二阶段个性化推进
      未确认部分个性化需求沟通，HR本周没空，暂定下周</t>
  </si>
  <si>
    <t>1、一期目标进展：
    1）HR流程实施
         BIP&amp;OA开发沟通对齐开发规范、编写开发文档
        BIP：入职审批配置完成，完成内部测试
        OA：人事管理流程流转测试（20%）；入职、调动、离职流程表单控制功能点开发（20%）；本周完成创建接口开发文档（100%） 、 流程创建接口开发工作（20%）
    2)  薪酬上报自动取数实施
        本周完成国资委报表取数逻辑改造开发（整体完成30%）
    3）4个非法人组织补充实施
      4/4 配置完成。已提供测试账号给工塑用户，进行功能试用及结合业务测试；化工事业部薪酬方案提供用户测试。
    4）薪资项目公式、考勤相关规则确认
     为保证各单位逐步在BIP系统中进行自动算薪、以及考勤流程在上线后的正常使用，提前确认各单位薪资项目公式逻辑、考勤项目规则等是否完善（11家确认完成，本周完成：扬州工程塑料、淮安骏盛、江苏淮河化工、连云港圣奥、连云港产业园、码头、仓储）
2、二阶段个性化推进
      本周三国际薪酬部分细化沟通。</t>
  </si>
  <si>
    <t>1、一期目标进展：
    1）HR流程实施
       A)  与HR一起测试入职流程，发现问题13项
       B)   开发情况：
        BIP侧：
         1、入职业务流程客户测试与问题处理（60%）
         2、离职表单、转正表单配置（80%）
         3、表单内容开发文档编写（50%)
     OA侧：
         1、本周完成人事管理模块入职、调动、离职流程表单控制开发功能并测试；
         2、入职、调动、离职流程创建接口基本开发完成，具备系统联调条件
    2)  薪酬上报自动取数实施
        完成查询报表开发（整体完成40%）
    3）4个非法人组织补充实施
      4/4 配置完成。已提供测试账号给工塑用户、产业资源用户进行功能试用及结合业务测试。
    4）薪资项目公式、考勤相关规则确认
     为保证各单位逐步在BIP系统中进行自动算薪、以及考勤流程在上线后的正常使用，提前确认各单位薪资项目公式逻辑、考勤项目规则等是否完善（17家确认完成，本周完成：宁波润沃、蓝星成都、南通星辰、芮城分公司、圣奥化学、泰州圣奥）
2、二阶段个性化推进
      初步整理个性化实施大体计划；未确认部分本周无进展</t>
  </si>
  <si>
    <t>1、一期目标进展：
    1）流程&amp;薪酬自动取数实施：因春节休假影响，本周实施开发无进展。
         其中只有入职流程1月20日交付测试，测试已发现问题13项，目前还有6项未解决
    2）新增 加班取消流程需求（南通星辰提出，总部HR确认），并提交中化信息项目组
2、二阶段个性化推进
    关于薪酬模块应用及个性化需求沟通会（总部HR\IT共享中心参加）
          会议主要结论及下一步工作（详细内容见会议纪要）：
         1）薪资接口需求沟通暂缓，待薪酬模块功能完善后再讨论
         2）个性化需求文档发送总部HR（补充完下周一前发)，总部HR进行内部沟通并完成确认（2.22前）
         3）了解集团内线上算薪企业情况，安排组织与集团内线上算薪企业进行沟通交流（2月14日前）
         4）确定试点企业，薪酬模块标准功能基础上的线上算薪验证。（2.22前）
         5） 完成个性化需求工作量及费用评估（2月底前）</t>
  </si>
  <si>
    <t>1、一期目标进展：
    1）流程实施：
    BIP侧：
   ①、转正单据审批配置完成，完成内部测试（90%）；
   ②、离职单据、调动单据配置及审批配置（90%）；
   ③、合同续签、证明办理表单配置及审批配置（30%）
   ④、考勤接口开发（100%）
   ⑤、流程对接流转单接口开发（20%）
   ⑥、表单字段及取数开发（20%）
   OA侧：
  ①、加班申请流程、校验重复加班功能点开发并验证（70%）
  ②、人事管理请休假、销假流程的内部开发工作（50%）
  流程测试（HR&amp;IT)：
     转正流程测试、入职流程复测 （HR&amp;IT)，新增16个问题。
  （问题：测试情况很不理想，项目组内部测试不充分，解决问题较慢）
    流程补充需求沟通：调动流程调薪数据需传BIP定调薪档案
   2）国资委上报自动取数（75%）
     员工信息改造、国资委报表取数逻辑创建测试场景数据，内部全面测试
   3）补充标准化实施（80%）
    产业资源：测试中，已沟通测试进度用户暂未回复
    科创中心：考勤需求已沟通，绩效需求待约HR时间
   工塑：用户已测试，暂定约本周五时间进行问题沟通
   化工事业部：1月发放单已导入使用完成算薪，2月起逐步试用公式
  4）薪酬模块功能培训及国际薪酬模块应用策略讨论（总部、南通星辰、健康医药HR、IT共享中心、中化信息项目组参加），主要结论如下：
      a）优先评估薪酬审批功能（国际薪酬模块上线应用前提）
      b)  标准功能外的其他个性化需求，需要分类评估、短期不能实现的，明确过渡或替代方案
2、二阶段个性化推进
    1）本周完成和扬农的分摊需求沟通
    2）梳理最新版需求清单发HR用户确认，持续完善已确认需求工作量评估</t>
  </si>
  <si>
    <t xml:space="preserve">1、一期目标进展：
    1）流程实施：
     OA&amp;BIP：
      ①、完成取消加班及衍生加班需求流程方案（90%）
      ②、入职接口联调（70%）
      ③、请休假接口联调（75%）
     BIP：
     ①、入职、转正单据问题持续修改（95%）
     ②、离职单据、调动单据、合同续签、证明办理表单配置及审批配置及内部测试，待分配权限提交用户测试；
     ③、离职、调动接口持续开发（95%）
    OA：
    ①、请休假流程的获取表单数据OA内部开发工作（100%）
    ②、入职流转单流程创建推送接口测试（100%）
  流程测试：
   ①、与项目组沟通测试进度、测试问题等
   ②、转正流程测试、入职流程3轮复测（HR&amp;IT) ，共计44个问题，本周测试新增15个问题，本周五下午安排再次复测验证（未解决的主要问题：审批流走不通，页面字段混乱）
   2）国资委上报自动取数（80%）
    大批量数据验证，测试用例、操作手册、培训PPT编写完成
   3）补充标准化实施（80%）
    产业资源、科创中心、工塑：用户反馈忙，待测试
   化工事业部：1月已完成上线
2、薪资项目公式、考勤相关规则确认（85%）
    为保证各单位逐步在BIP系统中进行自动算薪、以及考勤流程在上线后的正常使用，提前确认各单位薪资项目公式逻辑、考勤项目规则等是否完善（本周确认：山东圣奥、中膜环保、扬州锂电、滏鼎、滏恒、鑫宝）
3、二阶段个性化推进
    1）个性化需求分类评估初步完成，待中化信息内部沟通完发出
    2）根据沟通的国际现有SAP薪酬审批需求，整理BIP国际薪酬审批方案（80%）
</t>
  </si>
  <si>
    <t xml:space="preserve"> 1、一期项目：
1）统一流程实施进展：
13个流程，开发完成12个（IT完成内测6个），用户开始进行6个流程测试，截止周五共计101个问题（30个问题待解决中）
新增2个流程需求（加班取消、定调薪流程），“加班取消”流程方案确定中，“定调薪”流程需求确定中。
 2）国资委上报自动取数（90%）
  检查核验功能，和用户沟通UAT培训时间（本周HR没空，预计下周）
 3）补充标准化实施（80%）
   产业资源、科创中心、工塑：再次与用户沟通测试进展，反馈忙，待测试
2、集团今年标准化应用补充：薪资项目公式、考勤相关规则确认（90%）
    为保证各单位逐步在BIP系统中进行自动算薪、以及考勤流程在上线后的正常使用，提前确认各单位薪资项目公式逻辑、考勤项目规则等是否完善（本周确认：本周已确认单位：富斯林、富比亚）
3、二阶段个性化推进
    1）中化信息项目组根据内部汇报结果对个性化需求分类评估做调整，待再审核后发出
    2）国际薪酬审批方案发出给用户确认，按补充意见继续调整初步完成，待中化信息项目内部汇报</t>
  </si>
  <si>
    <t xml:space="preserve">1、一期目标
    1）流程实施：
       a) 变更与新增需求二次沟通，项目组梳理清单进行评估与解决方案（95%）
       b) 增补加班及取消加班需求沟通（用户方：南通、总部HR参加），并修改方案，HR确认完成
       c) 流程测试与复测（HR&amp;IT) ，共计140个问题，本周测试新增38个问题。
        已用户测试流程：12个流程（入职、转正、调动、离职、续签、证明、入职流转单、离职流转单、调动流转单、请假、销假、因私出国）。2个流程（加班、加班取消）方案变更暂未交付测试
        主要存在的问题：请休假额度结转规则不满足需求，所有相关流程人力资源负责人取数不对等
   2）国资委上报自动取数（90%）
       与HR沟通培训时间，并进行UAT测试培训准备(下周一测试培训）
   3）补充标准化实施（80%）
    产业资源、科创中心、工塑：测试中
    化工事业部：绩效已上线试用中（HR部先试点）
2、薪资项目公式、考勤相关规则确认（95%）
    为保证各单位逐步在BIP系统中进行自动算薪、以及考勤流程在上线后的正常使用，提前确认各单位薪资项目公式逻辑、考勤项目规则等是否完善（本周已确认单位：南通星辰芮城、安徽圣奥）
3、二阶段个性化推进
   1) 持续完善已确认需求工作量评估（90%）：
   2) 薪酬审批方案与客户确认，根据用户选择企业报表上报的方式进行方案调整（100%）
</t>
  </si>
  <si>
    <t>1、一期目标
    1）流程实施：
     a) 流程测试与复测、问题解决，共计175个问题，本周测试新增33个问题，累计已解决140个，待验证14个，未解决21个。
       ① 已用户测试流程：12个流程（入职、转正、调动、离职、续签、证明、入职流转单、离职流转单、调动流转单、请假、销假、因私出国）。
        ②整体测试情况： 1/14 因私出国流程测试通过,11/14测试暂未通过，2/14加班暂缓测试、加班取消未开始实施
        ③主要存在的问题：反复测试经常有新的问题出现（重点在审批流、页面展示、数据丢失等）
     b)上线准备：
         ①、梳理正式系统需要配置的相关字段/特征（100%）
         ②、梳理所有流程涉及到的表单模板（60%）
   2）国资委上报自动取数（90%）
       a) 周一开展UAT测试培训：4家关键用户单位参加（化工事业部、扬农、南通星辰、高纤）
       b)支持UAT测试,（测试参加单位4家：化工事业部、扬农、南通星辰、高纤），
         测试情况如下： 化工事业部、中化高纤、扬农测试完成并反馈测试通过，南通星辰暂未测试，预计本周测试完成。  
   3）补充标准化实施（80%）
    产业资源、科创中心、工塑：测试中（暂无进展）
    化工事业部：绩效已上线试用中（HR部试点）
2、薪资项目公式、考勤相关规则确认
    为保证各单位逐步在BIP系统中进行自动算薪、以及考勤流程在上线后的正常使用，提前确认各单位薪资项目公式逻辑、考勤项目规则等是否完善（薪酬公式 32/39确认完成，考勤公式35/42确认完成，国际、科技、扬农及下属等个性化中确认，其余完成确认；   本周已确认单位：宁夏锂电）
3、二阶段个性化推进
    持续完善已确认需求工作量评估（90%）：</t>
  </si>
  <si>
    <t xml:space="preserve">1、一期目标
    1）流程实施：
        1.1- 12+2流程测试情况：截止目前共计217个问题，本周测试新增42个问题。已关闭173，待验证4个，未解决40个。
            ①整体测试情况： 2/14 因私出国、入职流转单测试通过,10/14测试暂未通过，加班申请（因需求变更）暂缓测试、加班取消（开发评估中）未开始实施
            ②主要存在的问题：涉及审批流的测试等
        1.2- 新增变更：HR提出针对证明流程、调动流转单新的需求变更，开发评估中。
    2）国资委上报自动取数----测试通过并完成测试报告签署
   3）补充标准化实施（80%）----本周未进展
    产业资源、科创中心、工塑：测试中（本周暂无进展）
    化工事业部：绩效已上线试用中（HR部试点，提了2个需求（其中1个需求已解决，另一个涉及全局变更（无法解决，与HR沟通中））
   2、薪资项目公式、考勤相关规则确认（100%）
----除了国际、扬农待二期处理（个性化阶段），其他公司已完成。
   3、二阶段个性化推进
1）对扬农现状再进行详细沟通和细化评估
2）对国际部分复杂薪酬计算项待详细沟通后再细化评估  </t>
  </si>
  <si>
    <t>1、一期目标
    1）流程实施：
        1.1- 12+2流程测试情况：截止目前共计231个问题，本周测试新增14个问题。已关闭176，待验证6个，未解决49个。本周五下发各企业同步测试（要求4.9前完成一轮测试）
            ①整体测试情况： 2/14 因私出国、入职流转单测试通过,10/14测试暂未通过。
                 加班申请、加班取消流程变更（需求变更评估费用57600，费用未确认），这2个流程实施停滞
            ②主要存在的问题：证明模版取数，调动调薪部分功能还没做，部分内容是否属于变更中化信息与中化国际项目组存在分歧
    2）国资委上报自动取数
         上线准备，预计安排4.9用户培训
   3）补充标准化实施（80%）----本周未进展
       ①考勤：产业资源、科创中心、工塑均同国际，均已配置至正式系统
       ② 绩效：工塑暂未回复，科创中心回复四月初测试（本周无进展）
2、二阶段个性化推进
   持续完善二期个性化需求报价更新，增补新增需求与开发功能细化。</t>
  </si>
  <si>
    <t>1、一期目标
    1）流程实施：
         12+2流程测试情况：截止目前共计232个问题，本周测试新增1个问题。已关闭172，待验证4个，未解决46个。
            ①整体测试情况： 2/14 因私出国、入职流转单测试通过,  10/14测试暂未通过。
                 加班申请、加班取消流程变更（本周无进展）
            ②主要存在的问题：证明模版取数、调动调薪本周沟通完成取数逻辑及相关调整方案，暂未开始开发。
            ③账号权限等开放至下级各单位进行同步流程测试，要求4.9完成一轮测试
    2）国资委上报自动取数
         上线培训材料根据总部HR要求修改，具体培训时间待下周与HR确定
    3）补充标准化实施
       ①考勤：产业资源、科创中心、工塑均同国际，均已配置至正式系统
       ② 绩效：本周与总部HR一起完成在正式环境实际应用场景测试，发现2个问题已解决，其余基本满足需求。
2、二阶段个性化推进
   持续完善二期个性化需求评估更新，预计本周四中化信息内部审核完发出评估报价。</t>
  </si>
  <si>
    <t>1、一期目标
    1）流程实施：
    12+2流程测试情况：截止目前共计232个问题。已关闭172，待验证4个，未解决46个。（本周总部测试问题无变化）
     ①整体测试情况： 2/12 因私出国、入职流转单测试通过,     2个流程（加班申请、加班取消流程变更，费用未确认，暂时停滞）
     ②主要存在的问题：证明模版取数（需额外费用，暂无进展）、调动调薪本周需求方案沟通完成，暂未开始开发。
     ③3.28下发各企业测试【目前10家已测试（健康、医药、扬州锂电、骏盛、扬州工程塑料、高纤、圣奥化学、连云港圣奥、富比亚、宁夏锂电）】
    2）国资委上报自动取数
     本周四面向事业部全体企业 HR用户上线培训
2、二阶段个性化推进
   1）针对国际个性化需求进行排期及对应过渡方案梳理
   2）与扬农现场进行需求及方案沟通
   3）二期评估确认情况
      国际HR反馈：先HR内部看看；
      南通星辰反馈：需要额外费用，个性化一律不做；
      扬农：还需要方案沟通，没法确认</t>
  </si>
  <si>
    <t>1、一期目标
    1）流程实施：
         12+2流程测试情况：截止目前共计233个问题。已关闭198，待验证6个，未解决29个。（本周新增问题1个）
            ①整体测试情况： 3/12 因私出国、入职流转单、离职流转单测试通过,     2个流程（加班申请、加班取消流程变更，费用未确认，暂时停滞）
            ②主要存在的问题：证明模版取数（需额外费用，暂无进展）
            ③3.28下发各企业测试【目前10家已测试（健康、医药、扬州锂电、骏盛、扬州工程塑料、高纤、圣奥化学、连云港圣奥、富比亚、宁夏锂电）】，本周高纤、宁夏锂电持续在测
            ④ 审批人、办理事项矩阵收集：7家已反馈（扬州工程塑料、健康、医药、宁波润沃、中化塑料、中化广东、扬州锂电）    ⑤流程上线计划沟通确认：计划5.12上线（收入证明、加班、加班取消流程除外）
    2）国资委上报自动取数
         本周对陆续进行的数据维护问题做支持
 2、二阶段个性化推进
   1）沟通国际的替换方案和主计划
   2）梳理扬农现场调研后的需求清单并提供用户确认，并完善方案及报价
   3）立项文档开始准备</t>
  </si>
  <si>
    <t>1、一期目标
    1）流程实施：
         12+2流程测试情况：截止目前共计239个问题。已关闭200，待验证11个，未解决28个。（本周新增问题6个）
            ①整体测试情况： 3/12 因私出国、入职流转单、离职流转单测试通过,     
            ②主要存在的问题：证明模版取数（需额外费用，暂无进展）
            ③3.28下发各企业测试（目前10家已测试，本周无进展）
            ④ 上线前准备：请假额度、审批人、办理事项矩阵收集模版确定，预计下周初下发。  其中审批人、办理事项矩阵7家前按前期模版已反馈（扬州工程塑料、健康、医药、宁波润沃、中化塑料、中化广东、扬州锂电）    
    2）国资委上报自动取数
         持续支持各单位在4月上报前进行相关上报组织数据维护
2、二阶段个性化推进
   1）国际HR替换方案与总部HR沟通并确认完成
   2）智慧人力系统应用及迁移问题沟通（事业部总部、扬农、南通星辰、圣奥、中化信息参加）
   3）化工事业部BIP二期个性化商务谈判会（会上未达成一致意见，待细化评估后再谈判）
   4）扬农现场调研后的需求清单并提供用户确认，暂未确认
   5）立项文档初稿编写</t>
  </si>
  <si>
    <t>1、一期目标
    1）流程实施：
         12+2流程测试情况：截止目前共计240个问题。已关闭232，待验证3个，未解决5个。（本周新增问题1个）
            ①整体测试情况： 5/12 因私出国、入职流转单、离职流转单、转正、离职 测试通过,     
            ②主要存在的问题：证明模版取数（需额外费用，本周无进展）
            ③3.28下发各企业测试（目前10家已测试，本周无进展）
            ④ 上线前准备：请假额度、审批人、办理事项矩阵收集模版下发。 
 2、二阶段个性化推进
   1）国际评估报价细化及中化信息内部审批</t>
  </si>
  <si>
    <t>1、一期目标
    1）流程实施：
           12流程（加班、加班取消流程未实施，不再跟踪）
          a）本周复测，新增问题11，均已解决。截止目前共计250个问题。已关闭245，未解决5个。
          b)  流程上线申请报告HR签字完成（除收入证明）
          c）流程操作手册细化编写，培训安排（计划下周二），上线时间调整为下周三或四
          d)   初始化数据收集（年假额度、流转单办理事项、审批人）：12家已上报（河北新材料、高纤、扬州锂电、富比亚、成都新材、圣奥化学、塑料、医药、扬州工程塑料、连云港圣奥、化工事业部、工塑事业部）
2、二阶段个性化推进
   1）bip二期策略沟通会（薪酬条线与集团HR沟通完成底线要求，需要重新确认个性化需求范围)</t>
  </si>
  <si>
    <t>1、一期目标
    1）流程实施：
           a) 周二上线培训（面向各单位HR)
           b) 12流程功能上线（已通知各单位HR)，请休假和销假流程(职能部门）启用通知HR已发布。
           c) 上线问题跟踪：32个问题，已解决24个。测试通过但正式环境应用发现某些场景业务走不通的较大问题，原流程暂未停用。
2、二阶段个性化推进
   1）薪酬条线与集团HR沟通完成底线要求， HR认为底线要求各单位已满足
   2）国际个性化需求再确认（删减了一部分）后重新评估完成
   3）二期立项报告编写</t>
  </si>
  <si>
    <t>1、一期目标
    12个流程上线问题跟踪：累计58个问题，49个问题已解决，9个问题处理中。
2、二阶段个性化推进
   1）二期第二轮商务谈判完成
   2）立项报告修改完成</t>
  </si>
  <si>
    <t>1、一期目标
    12个流程上线问题跟踪：累计78个问题（本周新增20个问题），64个问题已解决，14个问题处理中。
2、二阶段个性化推进
   1）立项材料补充
   2）与扬农HR关于HR系统替换沟通会</t>
  </si>
  <si>
    <t>1、一期目标
    12个流程上线问题跟踪：累计85个问题（本周新增5个问题），71个问题已解决，14个问题处理中。
2、二阶段个性化推进
   1）扬农个性化需求方案补充
   2）二期立项本周暂无进展</t>
  </si>
  <si>
    <t>1、一期目标
    12个流程上线问题跟踪：累计95个问题（本周新增10个问题），76个问题已解决，19个问题处理中。
2、二阶段个性化推进
   1）扬农个性化需求方案沟通，会上扬农对初步方案表示认可
   2）二期立项汇报、补充修改（针对扬农需求补充信息公司意见及人力资源意见内容）</t>
  </si>
  <si>
    <t>1、一期目标
    12个流程上线问题跟踪：累计104个问题（本周新增9个问题），76个问题已解决，12个问题处理中。
2、二阶段个性化推进
   1）扬农个性化需求方案细化修改
   2）BIP二期立项申请已提交OA流程，审批中（高世明总待审）
   3) 完善二期需求规格说明书和SOW</t>
  </si>
  <si>
    <t>1、一期目标
    12个流程上线问题跟踪：累计105个问题（本周新增1个问题），95个问题已解决，10个问题处理中。
2、二阶段个性化推进
   1） BIP二期立项申请OA流程审批完成
   2）项目实施排期计划整理、合同拟稿</t>
  </si>
  <si>
    <t>1、一期目标
    12个流程上线问题跟踪：累计116个问题（本周新增11个问题），105个问题已解决，11个问题处理中。
2、二阶段个性化推进
   1） 合同修改完成，已提交OA合同流程（目前财务待审）
   2）.完善二期国际部分个性化需求，周五下午邮件发送用户待确认
   3）薪酬审批功能开发方案完善完成，开始启动开发</t>
  </si>
  <si>
    <t>1、一期目标
    12个流程上线问题跟踪：累计119个问题（本周新增3个问题），114个问题已解决，5个问题处理中。
2、二阶段个性化推进
   1） 合同流程审批中补充修改，修改后内容待中化信息确认
   2）需求规则书确认：
        相关需求与用户、项目组一起进一步沟通确认，需求说明书再修订，周五提供给用户进行二次确认
   3）薪酬审批功能开发进展：
        a)内部评审，完成工资发放审批开发文档（100%）
        b)功能开发（25%）
        c)员工信息增加“薪酬人事范围”特征字段，初始化相关数据（40%）
   4）考勤、员工信息增加特征信息类需求
        完成详细开发方案、开始安排开发
   5）商业保险、年金/安心计划流程需求
         本周用户告知，商业保险计划在保险APP上做，年金/安心计划明年都不会用到，暂时不用做（这两个流程需求本期将不再跟踪处理）</t>
  </si>
  <si>
    <t xml:space="preserve">1、一期目标
     1）12个流程上线问题跟踪：累计121个问题（本周新增2个问题），116个问题已解决，5个问题处理中。
     2）一期验收完成，转入正常运维
     3）主要遗留问题：离职流转单发送逻辑需要更改、与HR部一起配合重申要求各单位启用3个流转流程（同时收集各单位流转单办理事项）
2、二阶段个性化推进
   1） 合同审批完成并盖章寄出
   2）需求规则书确认：
        完成整体需求规格说明书确认（HR用户方签字完成）
   3）薪酬审批功能开发进展：
        a）功能开发（70%）
        b）员工信息增加“薪酬人事范围”特征自字段，初始化相关数据（40%）
   4）录用办理及员工信息导入模板
         编写员工信息模板导入功能用于开发的详细方案，并和用户进行沟通确认（90%）
   5）考勤、员工信息增加特征信息类需求
         测试环境已测试完成，已经配置到仿真环境，待内部测试
</t>
  </si>
  <si>
    <t>1、一期
     1）12个流程上线问题跟踪：累计121个问题（本周无新增），119个问题已解决，2个问题处理中。
2、二阶段个性化推进
   二期个性化（国际部分)
   1） 合同双方盖章完成
   2）薪酬审批功能开发
         a、.功能开发（95%）
         b、员工信息增加“薪酬人事范围”特征字段，配置初始化采集模板，初始化测试相关数据（70%）
   3）录用办理及员工信息导入模板  
         编写员工信息模板导入功能详细方案，并与用户进行沟通确认（90%）
    4）薪资测算（目标年薪、目标奖金、十三薪）
         编写薪酬测算的详细开发解决方案（30%） 
    5）考勤年假结转功能开发
          测试环境已经完成开发，内部测试中
    6）员工信息特征字段
         测试环境已测试完成，已经配置到仿真环境，待内部测试
 3、扬农个性化：
    1）梳理扬农需求，整理匹配系统定调薪及奖金分配功能</t>
  </si>
  <si>
    <t>1、一期目标
     流转单问题专项处理：
         a、流转单流程异常单据梳理，异常原因分析及问题沟通待处理，异常单据待与用户确认后重新推送
         b、OA流转单事项收集及对应OA配置（持续进行中）
         c、离职审批推送流转单功能调整方案评估，并与用户沟通完成
2、二阶段个性化推进
   二期个性化（国际部分)
   1）薪酬审批功能开发
        a、.功能开发（100%）
        b、员工信息增加“薪酬人事范围”特征自字段，配置初始化采集模板，初始化测试相关数据（100%）
        c、项目组内部测试及测试问题调整（50%）
   2）录用办理及员工信息导入模板  
        .编写员工信息模板导入功能用于开发的详细方案（100%）
   3）薪资测算（目标年薪、目标奖金、十三薪）
         编写薪酬测算的详细开发解决方案（40%） 
   4）考勤年假结转功能开发
          a、完成功能开发。（100%）
          b、完成项目组内部测试，编写测试测试用例，下周提交用户测试。
    5）员工信息特征字段
         a、测试环境已测试完成，已经配置到仿真环境。（100%）
         b、内部测试中（20%）。
    扬农个性化：
    1）梳理扬农需求，整理匹配系统定调薪及奖金分配功能
    2）评估方案与工作量（20%）</t>
  </si>
  <si>
    <t>1、一期目标
     流转单问题专项处理：
         a、OA流转单事项（8366处理）配置至化工事业部下所有组织
         b、新增推送OA流转单状态查询功能上线
         c、离职、入职流转单手工推送功能开发中
2、二阶段个性化推进
   二期个性化（国际部分)
   1）薪酬审批功能开发
        a、功能开发（100%）
        b、员工信息增加“薪酬人事范围”特征自字段，配置初始化采集模板，初始化测试相关数据（100%）
        c、.项目组内部测试及测试问题调整（85%）（预计本周末验证完成，待验证完发用户测试）
        d、仿真环境功能配置，用户测试用例编写完成（100%）
   2）录用办理及员工信息导入模板  
        .a、编写员工信息模板导入功能用于开发的详细方案（100%）
         b、解决方案目前已发用户确认中，已沟通暂未确认回复（50%）
         c、功能开发（5%）
   3）薪资测算（目标年薪、目标奖金、十三薪）
         编写薪酬测算的详细开发解决方案（60%） 
   4）考勤年假结转功能开发
         a、完成功能开发（100%）
         b、完成项目组内部测试，编写测试用例（100%）
         c、提交用户测试信息及用例（预计周五发）
    5）员工信息特征字段（产业链、岗位分类)
        a、测试环境已测试完成，已经配置到仿真环境（100%）
        b、内部测试中（100%）
        c、待收集数据、待配置生产环境
    扬农个性化：
    1）梳理扬农集团个性化实施需求
    2）评估方案与工作量（30%）（本周扬农HR没时间，部分方案需与扬农沟通后再评估）</t>
  </si>
  <si>
    <t>1、一期目标
        1）流转单问题专项处理：
               a）离职、入职流转单手工推送功能开发完成，测试中。
               b）离职流转单自动推送逻辑变更方案确认、需求变更单编写，预计下周开发调整
      2） 薪酬上报国资委报表应用问题沟通 （项目组、HR&amp;IT）：主要因主兼岗产生，薪酬条线建议调整按管理条线设主岗，待项目组评估影响
2、二阶段个性化推进
   二期个性化（国际部分)
   1）薪酬审批功能开发
        a、项目组内部测试完成（100%）
        b、周三完成用户测试前系统功能演示、测试培训
        c、周四邮件提交用户进行UAT测试
        d、培训会上用户提出薪酬审批完成后审批人自定义查询工资明细的需求，方案评估中
   2）录用办理及员工信息导入模板  
        a、编写员工信息模板导入功能用于开发的详细方案。（100%）
        b、解决方案已反馈调整意见，目前正在方案调整中。（50%）
        c、功能开发。（20%）
   3）薪资测算（目标年薪、目标奖金、十三薪）
        编写薪酬测算的详细开发解决方案。（80%）
   4）考勤年假结转功能开发
         a、完成功能开发。（100%）
         b、完成项目组内部测试，编写测试用例。（100%）
         c、与客户进行UAT培训，提交用户UAT测试、解决跨年度前置假休假问题。
    5）员工信息特征字段（产业链、岗位分类)
        a、测试通过
        c、待收集数据（预计下周一发收集表）、待配置生产环境
    扬农个性化：
    1、梳理扬农集团个性化实施需求。
    2、与扬农HR沟通确认设置段组层级、成本分摊表等业务需求方案
    3、工作量评估完成，周五发报价</t>
  </si>
  <si>
    <t>1、一期目标
        1）流转单问题专项处理：
               a）离职流转单推送逻辑变更进入开发阶段，排期9月12号发版（受重保影响）。
               b）实习生（无劳动合同信息）入职流程无法推送OA流转单问题 ，按项目组要求提交工单待处理。
      2） 主兼岗调整评估：薪酬层面代发薪清单梳理完成后再分析；涉及oa发文待OA侧评估     
2、二阶段个性化推进
   二期个性化（国际部分)
   1）薪酬审批功能开发
        a）UAT测试完成（基本功能测试通过，测试报告用户签字完成），本周末进行生产发版。
        b）优化内容（审批后报表查询、增加字段显示）继续按计划开发，预计重保后再发版。
   2）录用办理及员工信息导入模板  
        a）编写员工信息模板导入功能用于开发的详细方案。（100%）
        b）解决方案目前正在沟通中，将员工信息质检规则应用到导入模板中。（80%）
        c）功能开发。（25%）
   3）薪资测算（目标年薪、目标奖金、十三薪）
        .编写薪酬测算的详细开发解决方案，目前正在项目组评审中。（85%）
   4）考勤年假结转功能开发
         a）UAT测试基本完成
         b）准备测试报告，预计下周下发
    5）员工信息特征字段（产业链、岗位分类)
         a） 项目测试完成，生产环境字段配置完成。（100%）
         b）本周已向用户收集数据，预计下周反馈。
    扬农个性化：
    1、扬农HR个性化需求最新评估报价（8.15）与上次报价（4.7）差异对比，并邮件发送总部HR进行需求把关（HR暂未邮件回复，目前收到的反馈是HR相关领导要去跟扬农HR领导沟通这些需求的必要性）</t>
  </si>
  <si>
    <t>1、一期目标
        1）流转单问题专项处理：
             a)离职流转单推送包含离职前后30天功能开发，预计9月12号发版。（20%）
             b)实习生入职流程推送OA流转单不校验劳动合同信息完成。
             c) 调动流转单手动发起（跨事业部范围用）功能调整完善沟通确认，待开发
      2） 主兼岗调整评估：员工任职主岗、兼岗调整评估提供操作步骤文档，待下周沟通
2、二阶段个性化推进
   二期个性化（国际部分)
   1）薪酬审批功能开发
        a）完成薪酬审批功能上线，完成审批UI模板配置及审批流程配置，分配用户权限验证，待用户试用。
        b）薪酬审批优化功能开发（20%）
   2）录用办理及员工信息导入模板  
        a）调整的部分解决方案已提交用户确认完成。（100%）
        b）功能开发，下周提交内部测试。（90%）
   3）薪资测算（目标年薪、目标奖金、十三薪）
        .编写薪酬测算的详细开发解决方案，目前正在项目组评审中。（90%）
   4）考勤年假结转功能开发
         测试通过，测试报告准备完成
    5）员工信息特征字段（产业链、岗位分类)
         a） 项目测试完成，生产环境字段配置完成。（100%）
         b）用户反馈部分数据，整理数据初始化中。（30%）
    扬农个性化：
    1、扬农HR个性化暂时搁置（数字化部与HR部、HR部与扬农 已沟通）</t>
  </si>
  <si>
    <t>1、一期目标
 1）流转单问题专项处理：
  a)离职流转单推送包含离职前后30天功能开发中，预计下周提交测试
  b) 调动流转单手动发起（跨事业部范围用）功能调整完善开发完成
  c)完成调动单据中交接人调整为不能手工填写仅可选择
  2） 主兼岗调整评估文档已出，HR反馈不急，暂时搁置
2、二阶段个性化推进
   二期个性化（国际部分)
 1）薪酬审批功能开发
  a） 完成薪酬审批功能上线，用户8月薪酬审批试运行并提出优化新需求。
  b）薪酬审批新需求优化功能开发，本周迭代版本优化（70%）
 2）录用办理及员工信息导入模板  
      功能开发完成，本周项目组完成单元测试，下周提交用户测试（90%）
 3）薪资测算（目标年薪、目标奖金、十三薪）
   a)编写薪酬测算的详细开发解决方案，项目组评审完成提交用户，预计本周五发。
   b)基础页面功能搭建，功能开发。（10%）
 4）《员工变动分析统计表》报表
  a）报表字段梳理完成（100%）。
  b)  报表逻辑编写开发。（80%）
 5）员工信息特征字段（产业链、岗位分类)
      生产环境字段配置完成，用户已反馈数据，目前正在导入中。（80%）</t>
  </si>
  <si>
    <t>1、一期目标
     流转单问题专项处理：
      离职流转单推送离职前后30天功能已开发完成，测试后本周五发版生产（100%）
          b)调整离职审批流程与移动端审批优化（交接人必填没控制住）完成
2、二阶段个性化推进
   二期个性化（国际部分)
   1）薪酬审批功能开发
       优化需求：发薪人数差异、催办、导出统计优化功能完成并上线，剩余按薪酬范围查询报表优化中。（80%）
   2）录用办理及员工信息导入模板  
       a) 功能开发完成
       b) 测试验证中发现的导入按钮权限问题与字段对应问题本周解决完成
       c) 测试用例与操作手册编写完成，预计周五邮件发出，下周开始用户测试
   3）薪资测算（目标年薪、目标奖金、十三薪）
        a) 编写薪酬测算详细开发解决方案。（100%）
        b) 基础页面功能搭建开发完成，计算逻辑开发中，预计20号开发完成（30%）
   4）《员工变动分析统计表》报表
        a）报表字段梳理完成（100%）。
        b)  报表逻辑编写开发完成（100%）
        c)  报表式样模版配置中
    5）员工信息特征字段（产业链、岗位分类)
         生产环境字段配置完成，用户反馈的数据已完成模版整理，待导入。（80%）</t>
  </si>
  <si>
    <t>1、一期目标
     流程问题专项处理：
      a)解决调动单据交接人无法选择兼职人员
      b)离职单据推送失败的单据，不再重复推送问题。（30%）
      c)解决合同续签工作地点不准确的问题。（50%）
2、二阶段个性化推进
   二期个性化（国际部分)
   1）薪酬审批功能开发
       a). 优化功能：人员差异字段等发版上线
       b) 按薪酬范围查询报表开发完成。
   2）录用办理及员工信息导入模板  
       a) 功能开发完成，项目组测试录用办理导入功能已完成，目前用户测试阶段（IT已测发现部分问题在处理解决中，HR本周没空暂未测）
       b) 导入按钮（仅化工事业部使用）权限问题待解决
   3）薪资测算（目标年薪、目标奖金、十三薪）
        基础页面功能搭建开发完成，计算逻辑开发中，预计下周中项目组内部开始测试。（70%）
   4）《员工变动分析统计表》报表
        目前报表开发完成，项目组内部测试中，预计下周提交用户测试。
    5）员工信息特征字段（产业链、岗位分类)
         生产环境字段配置完成，用户反馈的数据已完成模版整理，可匹配的已导入完成，另一部分数据还需整理（80%）</t>
  </si>
  <si>
    <t>1、一期目标
     流程问题专项处理：
      a) 解决调动单据交接人无法选择兼职人员（100%）
      b) 离职单据推送失败的单据，不再重复推送问题（100%）
      c）解决合同续签工作地点不准确的问题（100%）
      d）解决OA休假申请单据中“加班可调休额度”字段显示问题（100%）
2、二阶段个性化推进
   二期个性化（国际部分)
   1）薪酬审批功能开发
       按薪酬范围查询报表功能本周发版生产环境
   2）录用办理及员工信息导入模板  
       a) 录用办理模版导入、员工信息简历批量更新导入提交用户测试，目前正在测试中
       b）功能优化：重复部门信息可通过编码导入的功能完成
       b) 导入按钮（仅化工事业部使用）权限问题处理完成
   3）薪资测算（目标年薪、目标奖金、十三薪）
        功能开发完成，项目组内部测试中（80%）
   4）《员工变动分析统计表》报表
        报表项目组内部测试完成，待提交用户测试
    5）员工信息特征字段（产业链、岗位分类)
         本周根据用户提供基础数据完成生产环境的导入初始化</t>
  </si>
  <si>
    <t xml:space="preserve">
   二期个性化推进（国际部分 9.28-10.11进展)
   1）薪酬审批功能
       a) 按薪酬范围查询报表功能修改调整再次提交用户测试。
       b)处理因动态列问题造成的薪资项目显示不全的问题。（20%）
       c)处理为0项目显示问题（若本期均与上期均为0，则不展示为 0列；若本期为0，上期不为0则展示该列）。（10%）
   2）录用办理及员工信息导入模板  
       a) 录用办理模版导入、员工信息简历批量更新导入用户测试中，发现部分问题处理中
       b）准备用户测试报告
   3）薪资测算（目标年薪、目标奖金、十三薪）
        功能开发完成，项目组内部测试问题处理中（80%）
   4）《员工变动分析统计表》报表
        报表项目组内部测试问题处理完成，待提交用户测试</t>
  </si>
  <si>
    <t xml:space="preserve">   二期个性化推进（国际部分)
   1）薪酬审批功能
         问题处理及功能优化：
      a) 因动态列问题造成的薪资项目显示不全的问题，目前开发完成正在测试中（80%）
      b)为0项目显示问题（若本期均与上期均为0，则不展示为 0列；若本期为0，上期不为0则展示该列），目前开发完成正在测试中（80%）
   2）录用办理及员工信息导入模板  
       a) 录用办理新入职模版导入功能测试
       b）解决应届生无需维护履历信息、学历子集最高学历回写基本信息字段问题、解决导入完成后页面自动刷新显示、修改日期格式填写不正确时报错信息。
   3）薪资测算（目标年薪、目标奖金、十三薪）
        a) 功能开发完成，项目组内部测试问题处理完成
        b）本周四已提交用户进行UAT测试
   4）《员工变动分析统计表》报表
        目前报表开发完成，预计本周五提交用户测试
 明年BIP个性化相关：
1、个性化需求HR本周向各单位收集需求，暂未集中反馈
2、扬农个性化，扬农HR反馈根据上级要求走一步看一步，扬农自己也决定不了；总部HR暂无要求</t>
  </si>
  <si>
    <t xml:space="preserve">   二期个性化推进（国际部分)
   1）薪酬审批功能
        a）因动态列问题造成的薪资项目显示不全的问题完成测试。（100%）
        b) 为0项目显示问题（若本期均与上期均为0，则不展示为 0列；若本期为0，上期不为0则展示该列），测试完成。（100%）
      c）问题验证通过，本周发版生产。
   2）录用办理及员工信息导入模板  
       a）解决应届生无需维护履历信息、学历子集最高学历回写基本信息字段问题、解决导入完成后页面自动刷新显示。（100%）
      b)已测试通过，本周发版生产。
   3）薪资测算（目标年薪、目标奖金、十三薪）
        已提交用户测试，本周用户算薪周期，预计下周后集中测试。
   4）《员工变动分析统计表》报表
        本周已发版生产环境，目前正式环境验证中，部分发现的问题（如年龄误合计等）已解决。
   5）年假结转
        本周发版生产环境
明年BIP个性化相关：
1、收到需求反馈：圣奥和总部HR
2、根据反馈的需求评估预计10W内</t>
  </si>
  <si>
    <t xml:space="preserve">   二期个性化推进（国际部分)
   1）薪酬审批功能
        a）按薪酬人事范围查询薪酬报表功能开发上线完成。
        b)   解决本期人数与上期人数存在差异时，发放数据不全的问题上线完成。（100%）
   2）录用办理及员工信息导入模板  
       已完成发版上线，解决备注、薪酬人事范围导入失败问题。（100%）
   3）薪资测算（目标年薪、目标奖金、十三薪）
        已提交用户测试，目前正在测试中。
   4）《员工变动分析统计表》报表
        已发版生产环境，本周解决统计表查询异常问题。（100%）</t>
  </si>
  <si>
    <t xml:space="preserve">   二期个性化推进（国际部分)
   1）薪酬审批功能
       a) 薪酬审批功能新需求“代发集团总部或其他专项公司员工，可设置其薪酬核  算范围并同步审批流程”方案沟通与设计。
      b) 新增优化需求开发评估方案完成，进入开发中，预计21日前完成开发上线。
   2）薪资测算（目标年薪、目标奖金、十三薪）
        用户测试阶段（本周用户忙于国资委报表报送，暂时没空测）</t>
  </si>
  <si>
    <t xml:space="preserve">   二期个性化推进（国际部分)
   1）薪酬审批功能
       a) 薪酬审批功能新需求“代发集团总部或其他专项公司员工，可设置其薪酬核算范围并同步审批流程”，开发中，预计下周完成。
   2）薪资测算（目标年薪、目标奖金、十三薪）
         a) 与用户演示奖金测算功能
         b) 根据用户测试中提交的问题【13薪计算需要先判断固薪月数再进行核算；当前奖金测算需要实现可以增加历史任职的人员进行核算（离职或调出）】进行调整，预计下周复测后发版。</t>
  </si>
  <si>
    <t xml:space="preserve">   二期个性化推进（国际部分)
   1）薪酬审批功能
       a) 薪酬审批功能新需求“代发集团总部或其他专项公司员工，可设置其薪酬核  算范围并同步审批流程”，已完成优化功能开发，本周测试通过并上线。
   2）薪资测算（目标年薪、目标奖金、十三薪）
         a) 根据用户测试中提交的问题【13薪计算需要先判断固薪月数再进行核算；当前奖金测算需要实现可以增加历史任职的人员进行核算（离职或调出）】开发完成并验证通过，本周发版上线。</t>
  </si>
  <si>
    <t xml:space="preserve">   二期个性化推进（国际部分)
   1）薪酬审批功能
       a）薪酬审批功能用户个性化需求优化完成上线
       b）薪酬人事范围统计表完成上线
   2）薪资测算（目标年薪、目标奖金、十三薪）
         a) 薪酬测算功能上线
         b) 配置定调薪相关模板与字段
         c)  开通用户权限。
 sap HR服务器迁移： 
    a)针对迁移方案沟通（9月5日报价中，hana恢复搭建和恢复运维支持为有条件发生）
    b）针对迁移方案，查询方式等邮件HR确认，初步沟通可以，暂未邮件回复，预计下周邮件回复
    c) 下周收集需要开通堡垒机账号的人员清单</t>
  </si>
  <si>
    <t>一期：2024/7/26
二期：2025/07</t>
  </si>
  <si>
    <t>一期：2024/9
二期：2025/9</t>
  </si>
  <si>
    <t>一期：2025/05
二期：2025/11</t>
  </si>
  <si>
    <t>一期：
二期：</t>
  </si>
  <si>
    <t>研发和产业链LIMS</t>
  </si>
  <si>
    <t>张晓峰</t>
  </si>
  <si>
    <t>考虑研发数字化规划</t>
  </si>
  <si>
    <t>1、剩余项目管理，文件管理，工时模块功能开发后测试
2、已上线功能优化，问题修复
3、完成全部功能上线</t>
  </si>
  <si>
    <t>中化科技LIMS系统上线使用
跟进工塑及高纤合同签订</t>
  </si>
  <si>
    <t>1、中化科技LIMS上线后发现问题修改、项目验收文档准备
2、跟进工塑及高纤合同签订</t>
  </si>
  <si>
    <t>1、中化科技LIMS项目验收收尾
2、持续跟进工塑及高纤合同签订</t>
  </si>
  <si>
    <t>持续跟进工塑及高纤合同签订</t>
  </si>
  <si>
    <t>准备项目启动会材料并安排召开启动会时间</t>
  </si>
  <si>
    <t>对中化高纤研发部进行需求调研
跟进中蓝合同审批进展，准备工塑项目启动会材料</t>
  </si>
  <si>
    <t>中化高纤：
1、对财务部进行调研
2、对集成类需求进行系统现状调研
3、编写初步需求说明书
工塑：
1、跟进合同审批
2、督促工塑确定启动会时间安排</t>
  </si>
  <si>
    <t>中化高纤：
与财务部门和研发部门确认需求说明书内容
编写设计文档的基础数据管理、项目科研论证、项目立项管理部分
根据调研内容结合合同整理差异性分析
工塑：
调研工塑事业部配方管理需求</t>
  </si>
  <si>
    <t>高纤：
1、编写设计文档的研发管理中心、研发成本、资源管理部分的内容
2、编写蓝图设计汇报PPT
工塑：
1、调研芮城的实验室业务管理需求
2、调研扬州ABS的实验室业务管理需求</t>
  </si>
  <si>
    <t>高纤：
1、进行详细设计说明书中统计查询模块编写
2、开展系统设计蓝图评审会议
3、开始系统数据库设计
工塑：
对南通中蓝调研检测业务流程、仪器采集、统计分析等需求</t>
  </si>
  <si>
    <t>中化高纤：
1、整理蓝图汇报材料，择机重开
2、系统内明确功能开始开发
3、系统对接集成类功能与对方沟通
工塑：
1、编写芮城分公司的需求说明书。
2、编写南通中蓝的需求说明书。
3、评估南通中蓝替代PIMP系统功能所需的额外工作量以及切换LIMS产生的工作量
4、根据调研内容与需求点，结合系统画出功能原型图（基础数据管理、配方管理、研发任务管理）。
5、编写概要设计文档（基础数据管理、配方管理、研发任务管理）。</t>
  </si>
  <si>
    <t>中化高纤：
1、蓝图材料修改：财务李晓峰总将与赵开荣总就工时管理方法进行讨论明确后，此项待明确后再写入材料
2、与财务部门就化数仓同步字段进行沟通
3、测试环境安装部署
4、持续开发
工塑：
1、讨论中蓝集成对接内容
2、根据沟通记录，制作样品模板，研讨样品模板实现方案
3、根据调研内容与需求点，结合系统，画出功能原型图
4、编写概要设计文档
5、与工塑管理层及中蓝确认项目范围
6、供应商正梳理超出合同的需求，不是本周就是下周要进行商务沟通</t>
  </si>
  <si>
    <t xml:space="preserve">中化高纤：
1、部分已明确模块系统开发：设备台账管理、设备保养、设备校准、设备维修、设备报废、设备使用记录功能开发
2、督促财务部、研发部尽快明确设备工时管理方法
工塑：
1、中蓝实现方案沟通
2、原型图与设计文档，根据调研内容与需求点，结合系统画出统计分析模块功能原型图。
3、数据库设计：根据系统设计进行数据库设计
4、编写统计分析模块设计文档（装置合格率、产品合格率、周报、月报、年报、样品分析历史趋势图、工作量统计、成本统计、及时率统计、CPK趋势分析、SPC质控分析、相关性分析、首页看板）。
5、根据禅道任务要求和设计文档开发基础数据管理模块功能（方法管理、测试项目管理、产品标准、样品模板、装置管理、采样点管理、自动下样日程管理）
</t>
  </si>
  <si>
    <t>中化高纤：
1、项目中心、成本管理模块功能开发
2、外围系统集成对接沟通，明确对接方案及时间安排
3、项目蓝图评审
工塑：
1、各家工厂需求说明书确认
2、与OA统一待办、多因子单点登入进行对接集成沟通
3、配方、工艺管理模块开发
4、中蓝各系统工作量评估后，与工塑管理层汇报，以明确中蓝最终落地方案</t>
  </si>
  <si>
    <t>中化高纤：
1、与SAP确认异常及逆向流程
2、与用户确认是否涵盖资本性支出内容
3、跟进SAP、OA对接开发内容
工塑：
1、与PIMP团队沟通，检测环节使用LIMS系统，其他功能继续使用PIMP系统
2、与CRM团队沟通配方集成改性项目信息接口
3、持续跟进需求说明书确认工作
4、完善项目设计文档
5、基础类模块开发</t>
  </si>
  <si>
    <t>中化高纤：
系统功能整体开发及内部测试
与用户和SAP系统沟通逆向业务和异常情况的处理
工塑：
配方管理与委托检测试
芮城-定时报检功能测试
多因子平台接口联调
OA待办接口联调
配方审核待办联调测试
完善设计文档</t>
  </si>
  <si>
    <t>中化高纤：
与用户演示系统功能，沟通细节并修改
与用户和SAP系统沟通逆向业务和异常情况的处理
工塑：
开发报告管理和不合格品评审功能
测试和优化芮城和扬州两个业务流程功能</t>
  </si>
  <si>
    <t>中化高纤：
与研发部使用历史项目走系统流程讨论细节
根据测试情况对系统整体业务功能优化调整
工塑：
扬州生产检验检测、报告管理、产品判定维护功能优化并测试
芮城检验检测管理功能测试与优化
配方管理功能优化测试
整理收集方法管理、设备管理导入模板
扬州工塑LIMS-SAP接口对接沟通</t>
  </si>
  <si>
    <t xml:space="preserve">中化高纤：
与研发部、财务部演示系统预算功能，沟通系统功能符合性
系统培训，准备用户测试
跟进SAP接口对接事宜
工塑：
扬州生产检测、委托检测、配方检测真实数据测试验证
芮城检验检测管理与报告管理功能测试与优化
与扬州工塑、芮城用户演示系统功能，沟通记录优化修改意见，并整改优化
扬州工塑LIMS-SAP接口需求沟通确认
跟进多因子平台对接组织部门和用户账号
</t>
  </si>
  <si>
    <t>中化高纤：
根据测试情况对系统整体业务功能优化调整
给研发部人员培训系统功能
开展系统自身功能的试运行工作
接口对接跟进与SAP的接口对接工作
跟进解决试运行中出现的系统问题
工塑：
工塑部门生产样注塑功能方案沟通，和客户沟通生产成品与委托样品注塑功能方案沟通
OA待办集成测试联调
不合格结果提醒功能优化与测试
跟进各单位反馈的问题优化处理验证并反馈</t>
  </si>
  <si>
    <t>中化高纤：
给研发部、财务部人员进行系统功能培训
与SAP对接的相关接口开发，并进行进行联调测试
跟进解决试运行中出现的系统问题
工塑：
扬州ABS、芮城维护基础数据
跟进扬州ABS、芮城用户测试系统功能
跟进扬州ABS、芮城反馈的优化问题处理验证并反馈
跟进上海改性产品开发部反馈的优化问题处理验证并反馈
跟进中蓝PIMP评估情况</t>
  </si>
  <si>
    <t>中化高纤：
1、SAP集成开发联调
2、测试过程中发现问题处理
工塑：
1、协助用户维护基础数据并测试流程
2、跟进测试反馈的优化问题处理
3、系统报表搭建
4、扬州ABS静态数据收集及导入</t>
  </si>
  <si>
    <t>中化高纤：
跟进解决试运行中出现的系统问题
对系统功能进行优化和功能测试
与SAP进行接口内容联调
根据化数仓视图对项目费用集成进行调试
报表绘制搭建
工塑：
协助用户维护基础数据并测试流程
功能优化，问题处理
报表，留样标签制作
配方业务跨系统对接功能确认</t>
  </si>
  <si>
    <t>中化高纤：
跟进解决试运行中出现的系统问题
对系统功能进行优化和功能测试
与SAP进行接口内容联调
根据化数仓视图对项目费用集成进行调试
报表绘制搭建
工塑：
协助用户维护基础数据并测试流程
功能优化，问题处理
报表，留样标签模版制作
配方业务跨系统对接功能确认</t>
  </si>
  <si>
    <t>中化高纤：
跟进解决试运行中出现的系统问题
对系统功能进行优化和功能测试
跟进化数仓项目费用视图对研发系统项目费用集成进行调试
联合SAP、财务人员、研发人员对研发项目成本系统业务功能进行测试
制作项目立项申请书报表
工塑：
跟进扬州ABS、芮城用户维护基础数据、测试业务功能
跟进研发用户测试配方管理功能
跟进扬州工塑反馈的优化问题处理验证并反馈
跟进芮城分公司反馈的优化问题处理验证并反馈
跟进上海改性产品开发部反馈的优化问题处理验证并反馈
中化科技任务接口开发及测试
化数仓物料信息接口开发及测试
协助芮城维护样品模板
协助扬州工塑维护产品标准</t>
  </si>
  <si>
    <t>中化高纤：
跟进解决试运行中出现的系统问题
调试项目费用统计根据给的项目成本数据导入到研发库中调试项目费用统计情况
报表制作制作财务反馈的研发经费统计报表
协助用户维护基础数据及测试业务功能
工塑：
准备培训数据，给配方管理相关用户组织线上培训，推进大家测试功能并反馈意见
中化科技一期二期系统衔接功能对接，并与客户确认功能
跟进反馈的问题处理验证并反馈
化数仓物料价格接口同步接口开发及测试
编写扬州、芮城检测业务的测试用例和测试报告
跟进中蓝项目变更审批情况</t>
  </si>
  <si>
    <t>中化高纤：
1、跟进测试过程中发现的问题处理及优化
2、和财务部、研发部共同进行项目费用模块集成测试
3、制作研发经费统计报表
工塑：
1、协助用户维护基础数据并测试流程
2、跟进测试过程中发现的问题处理及优化
3、芮城4个报表的制作
4、中化科技一期二期系统衔接问题处理，并与用户确认功能
5、协助用户维护样品模版数据
6、编写项目过程文档</t>
  </si>
  <si>
    <t>中化高纤：
1、首页面板优化调整，研发费用驾驶舱开发，预算执行进度功能页面优化调整
2、和财务部、研发部共同进行项目费用模块进行测试
3、跟进测试过程中发现的问题处理及优化
工塑：
1、协助用户维护基础数据并测试流程
2、跟进测试过程中发现的问题处理及优化
3、扬州1个报表，芮城一个报表的制作
4、中化科技一期二期系统衔接问题处理，并与用户确认功能
5、配方任务全流程业务改为多样品流程的调整
6、编写项目过程文档：芮城培训方案及使用手册</t>
  </si>
  <si>
    <t>中化高纤：
1、跟进解决试运行中出现的系统问题
2、跟进首页面板开发与调试
3、财务口径对照查询详情数据页面功能开发与测试
4、OA备品备件领用流程关联WBS功能修改
5、SAP WBS切换沟通
工塑：
1、协助用户测试流程及功能
2、跟进测试过程中发现的问题处理
3、芮城用户现场培训（本周）
4、配方任务全流程业务改为多样品流程的测试
5、跟进中蓝项目变更事宜</t>
  </si>
  <si>
    <t>中化高纤：
1、跟进解决试运行中出现的系统问题
2、跟进首页面板开发与调试
3、WBS功能化数仓历史项目费用同步功能修改
4、准备正式数据
工塑：
1、协助用户测试流程及功能
2、跟进测试过程中发现的问题处理
3、芮城的报表优化
4、编写扬州ABS、研发操作培训手册
5、跟进配方任务全流程业务改为多样品流程的测试
6、跟进中蓝项目变更事宜</t>
  </si>
  <si>
    <t>中化高纤：
1、跟进解决试运行中出现的系统问题
2、缺少数据问题跟进解决（Ksv5分配的费用没有凭证的问题）
3、准备正式数据切换
工塑：
1、配方管理模块使用培训
2、跟进测试过程中发现的问题处理
3、协助扬州工塑用户测试业务功能
4、中蓝项目变更后的对接功能需求沟通</t>
  </si>
  <si>
    <t>中化高纤：
1、历史过程中的16个过程中项目订单数据全部同步，检查数据准确性
2、OA备品备件领用WBS关联功能上线
3、跟进测试过程中发现的问题
工塑：
1、协助扬州用户维护检测项目与产品标准
2、跟进统计模块优化情况并与用户确认
3、梳理配方模块与PIMP对接内容及接口方式，并与PIMP方面确认</t>
  </si>
  <si>
    <t>中化高纤：
1、跟进上线后过程中发现的问题并处理
2、跟进8月份人员工时和资产折旧分摊的使用情况
3、开始编写项目汇报材料
工塑：
1、协助用户验证统计模块功能（CPK趋势分析、SPC质量分析、相关性性分析、首页面板等）
2、扬州产品合格率、工作量统计、首页模板需求优化
3、用户操作手册重新更新，补充优化的功能点
4、与PIMP对接测试获取检测项目接口，开发配方任务推送、配方终止接口</t>
  </si>
  <si>
    <t>中化高纤：
1、跟进上线后使用过程中发现的问题并处理
2、与关键用户沟通项目未尽事项等验收准备事宜
工塑：
1、遗漏问题处理及修改
2、报表优化修改
3、准备与PIMP对接的新测试环境
4、跟进与PIMP对接接口开发进度，开发结果回传接口
5、芮城-用户操作手册更新</t>
  </si>
  <si>
    <t>中化高纤：
1、跟进化数仓未同步WBS新数据的问题
2、与财务及研发部沟通产研发成品管理的问题
工塑：
1、遗漏问题处理及修改
2、报表优化修改
3、跟进与PIMP对接接口开发进度，准备接口联调</t>
  </si>
  <si>
    <t>中化高纤：
1、跟进研发部对物料管理模块进行产成品维护
2、跟进财务及税务人员对高企及加计口径数据进行对照比对
3、对人员工时分配进行限制，一天参加项目工时不能大于10小时
工塑：
1、遗漏问题处理及修改
2、芮城-SPC质控分析查询功能优化
3、扬州-生产检测流程新增颜色样检测需求，功能与过程样与一致
4、与PIMP联调配方测试检测流程，PIMP推送原材料与生产的检测数据进行联调，PIMP开发进度80%</t>
  </si>
  <si>
    <t>中化高纤：
1、跟进研发部对物料管理模块进行产成品维护
2、系统试运行报告、初步验收报告文档编写
3、周三下午召开系统上线汇报会议
工塑：
1、遗漏问题处理及修改
2、与PIMP联调测试配方业务模块
3、PIMP中蓝质量模块优化合同已签订，周三上午召开PIMP优化启动会</t>
  </si>
  <si>
    <t>中化高纤：
1、跟进解决上线运行中出现的问题，解决人员工时规划无法导出问题
2、费用类别增加自筹资本化和财政资本化
3、针对研发产成品管理与SAP团队探讨管理方案
工塑：
1、跟进解决遗留2项优化问题（SPC质控分析报表查询速度慢的问题、委托申请需要增加任务类型）
2、跟进PIMP联调测试工作
3、跟进扬州、芮城和改性研发部的验收准备工作
4、跟进研发部新需求实现方案（配方数据触发修改ERP-BOM;研发配方（SKU）实际成本分析）</t>
  </si>
  <si>
    <t>中化高纤：
1、持续跟踪并解决使用中新发现的问题
2、与用户沟通产成品管理方案
工塑：
1、与PIMP联调测试配方业务模块
2、持续跟踪并解决使用中新发现的问题
3、跟进研发部新需求实现方案，与属地MES负责人（周英波）沟通配方对接BOM实现可行性，与属地ERP负责人（潘宝圣 ）沟通成本分析表对接实现可行性。</t>
  </si>
  <si>
    <t>中化高纤：
1、持续跟踪并解决使用中新发现的问题
2、本周一与用户沟通产成品管理方案
工塑：
1、与PIMP联调测试配方业务模块
2、持续跟踪并解决使用中新发现的问题
3、跟进研发部新需求实现方案，待中化信息刘一鸣协调技术人员评估可行性</t>
  </si>
  <si>
    <t>中化高纤：
1、持续跟踪并解决使用中新发现的问题
2、待晓菲进一步测试方案后再与用户沟通
工塑：
1、跟进与PIMP联调测试配方检测业务
2、持续跟踪并解决使用中新发现的问题
3、跟进研发部新需求的后续反馈</t>
  </si>
  <si>
    <t>中化高纤：
1、持续跟踪并解决使用中新发现的问题
2、待晓菲进一步测试产成品虚拟仓库方案后再与用户沟通
工塑：
1、跟进与PIMP联调测试配方检测对接工作
2、持续跟踪并解决使用中新发现的问题
整理项目材料准备交接工作</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</si>
  <si>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</si>
  <si>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3、与吴同就系统运维管理细节进行交接</t>
  </si>
  <si>
    <t>1、中化高纤：待晓菲进一步测试产成品虚拟仓库方案后再与用户沟通
2、工塑：由于配色需求涉及PIMP后续流程，根据三维评估情况再看下一步如何操作。</t>
  </si>
  <si>
    <t>高纤3月30日
工塑 5月31日</t>
  </si>
  <si>
    <t>高纤7月31日
工塑8月31日</t>
  </si>
  <si>
    <t>高纤9月30日
工塑10月31日</t>
  </si>
  <si>
    <t>1、完成全部功能模块开发及测试工作
2、平台全部功能上线</t>
  </si>
  <si>
    <t>1、12月31日科技LIMS系统完成上线
2、芮城完成用印，合同流转至扬州ABS
3、高纤无法提交合同流程，还需要走特殊采购流程及不宜综合比价流程</t>
  </si>
  <si>
    <t>1、科技LIMS系统上线后问题修改
2、扬州ABS用印完成、合同流转至南通中蓝，中蓝需走SRM，对接人还在申请SRM系统权限。
3、1月6日上午高纤财务经理李晓峰来访沟通项目推进方式及时间节点。特殊采购流程及不宜综合比价流程审批完成。与王欣沟通合同文本问题，合同内容还需做一些调整。</t>
  </si>
  <si>
    <t>1、科技LIMS项目完成验收签署，项目转运维，不再跟踪。
2、中蓝已在SRM对供应商豁免进行公示，待公示完成后提交合同审批。
3、中化高纤已对合同文本完成修订并提交审批流程。</t>
  </si>
  <si>
    <t>高纤合同审批中
中蓝因账期问题暂无法提交SRM合同</t>
  </si>
  <si>
    <t>高纤合同签订完成
中蓝提交合同审批
供应商休假中</t>
  </si>
  <si>
    <t>2月13日中化高纤项目召开项目启动会，开启需求调研
中蓝合同仍在审批中</t>
  </si>
  <si>
    <t>中化高纤：
1、完成研发部的需求调研
2、完成财务部部分需求调研
工塑：
1、中蓝合同审批完成、目前工塑总部合同审批中
2、督促工塑确定启动会时间安排</t>
  </si>
  <si>
    <t>中化高纤：
完成与OA系统物料库存业务集成调研
初步完成与SAP系统的预算、资产折旧和研发产成品业务集成调研
与中化科创中心财务和化工事业部税务人员讨论项目建设
工塑：
完成合同签订
召开项目启动会</t>
  </si>
  <si>
    <t>中化高纤：
1、与研发部和财务部确认需求说明书内容
2、调研并确定sap系统对接内容和接口
3、编写设计文档关于基础数据模块的内容
4、根据调研内容结合合同整理差异性分析
工塑：
调研工塑事业部的配方管理需求</t>
  </si>
  <si>
    <t>高纤：
1、编写设计文档的研发管理中心、研发成本、资源管理部分的内容
2、编写蓝图设计汇报PPT修改中
3、与财务部、税务事务所人员就研发项目成本管理、研发多口径核算方面交流系统建设思想。
工塑：
1、完成扬州ABS的实验室业务管理需求调研
2、完成芮城的实验室业务管理需求调研</t>
  </si>
  <si>
    <r>
      <t xml:space="preserve">中化高纤：
1、详细设计说明书数据查询与统计分析模块编写
2、详细设计说明书页面字段说明设计
3、数据库设计说明书编写
4、系统集成设计说明书编写
5、开展系统蓝图评审会议（重新整理材料，准备妥当后重开）
工塑：
1、就配方管理功能形成Axure页面原型，提供给用户进行确认
2、就中蓝工厂需求进行现场调研。
3、发现中蓝已在PIMP中实现检测业务功能，与PIMP方面了解系统现状及集成情况
</t>
    </r>
    <r>
      <rPr>
        <sz val="11"/>
        <color rgb="FFFD4147"/>
        <rFont val="等线"/>
        <family val="2"/>
      </rPr>
      <t>风险点：中蓝在今年初配合ERP项目在PIMP中在南通星辰的质量检测功能上根据自身系统集成情况开发并上线了质量检测业务功能，基本覆盖了LIMS本期立项的功能。因此中蓝工厂总经理崔晓文对系统替换的必要性提出疑义。目前评估替换工作量和替换的必要性，然后与工塑进行汇报。</t>
    </r>
  </si>
  <si>
    <t>中化高纤：
1、与研发部就人员工时管理、设备工时管理的方案重新讨论
2、部分已明确功能进行开发：基础数据管理模块、项目科研论证管理流程、项目立项管理流程
3、与SAP团队沟通接口内容，并让SAP团队评估开发工作量
4、与SAP团队沟通需要化数仓提供的视图需求，字段待明确
5、蓝图材料修改
工塑：
1、完成南通中蓝需求说明书编写
2、完成南通星辰芮城分公司需求说明书编写
3、补充改性产品开发部需求说明书：根据产品开发人员反馈，增加挤出工艺模板，注塑工艺模板，增加配方管理需求点
4、根据需求部门反馈重新修改原型图编，并同步编写配方管理功能设计文档
5、南通中蓝切换LIMS系统额外工作量评估</t>
  </si>
  <si>
    <t>中化高纤：
1、系统测试环境部署并申请网络访问策略
2、部分已明确模块系统开发
3、财务科目口径对照页面功能设计
工塑：
1、制作原型图与详细设计：产品标准管理、样品模板管理、装置管理、采样点管理、检验检测管理
2、确定样品模板方案，根据调研沟通记录绘制功能原型图，讨论样品模板实现方案
3、确认南通中蓝接口内容：根据接口清单及中蓝提供的接口文档，梳理确认每个接口的内容
4、梳理合同外需求内容，确定待商务沟通事项</t>
  </si>
  <si>
    <t>中化高纤：
1、已明确的设备管理模块功能开发
2、工时管理方案明确，修改设计文档
3、与财务部及SAP团队明确化数仓取值逻辑字段要求
4、与报销及OA团队明确由订单改为WBS管理所需的调整方案
工塑：
1、根据系统原型与设计文档进行数据库设计并编写设计文档
2、基础功能及配方管理模块进入开发
3、就中蓝PIMP质量模块现状，与PIMP、ERP、WMS、MES系统负责人及供应商沟通系统切换的工作量评估</t>
  </si>
  <si>
    <t>多因子、OA统一待办集成方案沟通
中化高纤：
1、项目中心、成本管理模块功能开发
2、与SAP、OA沟通对接内容
3、召开项目蓝图评审
工塑：
1、跟进各家工厂需求说明书确认
2、配方方案修改沟通
2、基础模块、工艺管理、检测业务模块开发
4、跟进沟通南通中蓝切换质检系统的风险项，评估第三种处理方案：检测环节使用LIMS系统，其他功能继续使用PIMP系统。</t>
  </si>
  <si>
    <t>中化高纤：
系统功能整体开发及内部测试
与用户和SAP系统沟通逆向业务和异常情况的处理
工塑：
完成配方、芮城、扬州ABS需求说明书确认并签字
与CRM系统沟通商机项目信息对接
集成接口开发：多因子平台集成接口开发与本地测试、OA统一待办接口开发
交接班管理、工塑生产样品送检功能开发
与PIMP系统沟通检测业务对接和检测结果回传接口方案可行性与可能存在的问题</t>
  </si>
  <si>
    <t>中化高纤：
系统功能开发及内部测试
工塑：
多因子平台、OA待办、配方管理和检测流程以及样品管理模块的开发
完善设计文档</t>
  </si>
  <si>
    <t>中化高纤：
系统功能内部单元测试
工塑：
测试和优化芮城和扬州流程功能
配方与检测流程对接开发
班组、留样功能开发</t>
  </si>
  <si>
    <t>中化高纤：
与研发部使用历史项目演示系统，沟通系统功能符合性
项目预算业务，变更业务流程优化调整
知识库功能开发及测试
SAP逆向业务讨论
工塑：
扬州工塑LIMS-SAP接口对接沟通
配方管理功能演示，沟通系统功能符合性
芮城检验检测管理功能测试与优化</t>
  </si>
  <si>
    <t>中化高纤：
与研发部对使用历史项目对系统功能进行测试
与研发部确认资产折旧页面字段需求，并确认资产折旧，设备工时，项目折旧费用计算业务功能
与财务部确认资产折旧相关系统功能设计，并对项目费用，财务口径统计报表页面功能进行演示确认
资产折旧模块系统功能开发
项目预算费用执行情况功能优化和测试
财务口径报表自动根据费用明细统计功能开发
跟进与多因子平台对接组织结构和用户同步
根据最新系统功能更新概要设计说明书
工塑：
扬州ABS和产品开发部沟通配方管理与检测流程衔接问题。
与芮城分公司沟通成品报检业务数据验证信息。
扬州ABS接口对接问题确定SAP生产计划不对接，仅对接物料基础信息。
配方管理：根据上海改性产品开发部反馈意见，对配方编制、配方查询、工艺模板等页面进行调整。
扬州及芮城的委托检测、生产检测流程使用真实数据验证流程功能，并针对页面布局进行优化。
分别组织扬州及芮城的实验室人员就系统功能进行演示，收集意见。</t>
  </si>
  <si>
    <t>中化高纤：
给研发部人员培训系统功能
开展系统自身功能的试运行工作
与SAP进行接口对接确认并讨论接口对接事项，看展实际对接工作
处理试运行环境因系统功能模块导入时有报错，导致无法进行系统更新的问题
发现问题的功能开发与优化
工塑：
由多因子平台对接导入组织部门和用户账号，维护组织及账号基础功能权限并测试
与扬州工塑客户沟通生产成品与委托样品注塑功能方案
与上海改性产品开发部沟通配方原材料对接方案
OA待办集成联调
根据扬州工塑注塑功能方案开发注塑节点并测试生产检测与委托检测接入注塑节点的功能
完成不合格结果提醒功能优化与测试
测试解决基础数据维护过程中反馈的优化问题18个
测试优化物料管理分类问题和基础数据维护功能
中蓝的方案跟进，督促PIMP供应商给出评估结果</t>
  </si>
  <si>
    <t>中化高纤：
1、系统功能培训
2、SAP和研发系统调账问题处理沟通
3、与SAP开发商沟通资产折旧信息接口内容
4、进行与SAP集成接口的开发
5、已测试过程中发现问题优化调整
工塑：
1、编写配方管理、扬州ABS检测业务使用操作手册
2、维护芮城、扬州ABS检测基础数据，测试业务流程
3、测试问题处理与功能优化
4、PIMP完成评估，报工塑领导后指示保留PIMP</t>
  </si>
  <si>
    <t>中化高纤：
与SAP进行接口内容联调与沟通
跟进客户的系统试运行进度
试运行问题功能开发和优化
工塑：
制作报表模板
维护采样点、检测项目基础数据、用户账号等数据
演示中化科技系统流程，并和改性产品开发部确认委托检测流程衔接范围。
沟通南通中蓝PIMP系统对接事项，确定需要对接的最小接口列表。
与扬州ABS开阶段汇报会议，汇报已完成工作及里程碑节点，沟通下阶段工作安排。
问题处理与功能优化</t>
  </si>
  <si>
    <t>高纤：
制作《周报汇总查询》，《项目人员工时比例》查询报表
进行研发系统项目费用和化数仓费用集成调试
研发投入费用投入口径对照数据维护
根据用户反馈问题进行解决和优化
工塑：
协助用户维护基础数据，测试业务流程
CRM商机项目接口对接开发
测试问题处理与功能优化共31项，已解决21项，修改中10项
报表模板制作</t>
  </si>
  <si>
    <t>中化高纤：
沟通化数仓项目费用的字段新增对照
根据客户反馈问题，并跟进解决状
为研发人员进行培训讲解
工塑：
制作报表模板
协助用户维护基础数据，测试业务流程
测试CRM商机项目接口功能，推送部分数据验证接口。
会议沟通确认中化科技一期二期系统对接内容，确认接口实现方式。
跟进测试问题处理与功能优化
编写项目变更请示报告</t>
  </si>
  <si>
    <t>中化高纤：
制作项目立项申请书、人员工时统计查询报表
编写系统测试报告
沟通确认化数仓字段说明，确定数据唯一性标识
和开发沟通项目费用对接系统逻辑，进行功能开发
跟进测试过程中发现的问题处理及优化
工塑：
完成制作芮城2，6二甲酚报告中英模板2份。
协助用户维护基础数据，测试业务流程
完成扬州化数仓物料信息接口开发，添加物料数据验证接口。
完成中化科技一期二期接口开发工作，并完成一轮测试，测试问题处理中。
测试中发现问题处理与功能优化
提交中蓝项目变更立项审批</t>
  </si>
  <si>
    <t>中化高纤：
1、项目费用化数仓集成开发与系统页面优化，导入化数仓数据测试项目费用在页面上的展示逻辑
2、培训并协助用户导入研发设备信息
3、测试过程中发现问题的解决，本周解决8项，遗留2项
工塑：
1、组织配方管理用户组织培训，推进大家进行功能测试
2、协助用户维护基础数据，测试业务流程
芮城：样品模板48个，并测试原材料、过程样、成品样检测业务流程，测试报告流程，测试装置日报，测试自动下样功能。
扬州：维护测试项目1个，维护产品标准3个，测试生产样品检测检测流程。
上海：协助研发部维护3个挤出设备，4个挤出工艺模板，335个配方原材料信息，协助测试配方管理流程。
3、接口工作
完成配方原材料同步价格接口的功能开发与测试验证。
中化科技检测及研发模块衔接对接处理中。
4、测试过程中发现问题的解决，本周解决18个项，遗留4项
5、中蓝项目变更：与用户、供应商重新沟通，尽可能压降项目金额，等待供应商重新报价</t>
  </si>
  <si>
    <t>中化高纤：
1、培训质监部用户对设备管理模块进行使用，协助导入设备台账
2、和财务部、研发部共同进行项目费用模块进行测试
3、跟进测试过程中发现的问题处理及优化，本周解决5项，遗留3项
工塑：
1、协助用户维护基础数据，测试业务流程
芮城：协助测试留样管理、装置日报。
扬州：协助测试生产样品检测检测流程和不合格评审流程。
上海：协助测试新的多样品配方模板，并沟通配方模块结构问题。
2、测试过程中发现问题的解决，本周解决17个项，遗留3项
3、测试用例及测试报告编写
4、中蓝项目变更：已将项目金额压降至原项目金额范围，并修改立项报告提交给工塑。</t>
  </si>
  <si>
    <t>中化高纤：
1、系统首页面板需求优化
2、项目立项申请增加采购设备功能
3、跟进测试过程中发现的问题处理，目前遗留1项
4、OA备品备件领用流程关联WBS及报销关联WBS修改沟通
工塑：
1、协助用户维护基础数据并测试流程
2、跟进测试过程中发现的问题处理，本周解决28项，遗留8项
3、中化科技一期二期系统衔接问题处理
4、配方任务全流程业务改为多样品流程的调整开发
5、完成编写《芮城用户操作手册》
6、中蓝项目变更审批中</t>
  </si>
  <si>
    <t>中化高纤：
1、系统首页面板需求优化
2、跟进测试过程中发现的问题处理，目前遗留1项
3、WBS切换沟通
4、化数仓历史项目费用同步功能修改
工塑：
1、协助用户维护基础数据并测试流程
2、跟进测试过程中发现的问题处理，本周解决22项，遗留12项
3、中化科技一期二期系统衔接问题处理
4、完成配方任务全流程业务改为多样品流程的调整开发，并与用户演示沟通
5、完成芮城用户现场操作培训
6、中蓝项目变更合同提交给诗阳总</t>
  </si>
  <si>
    <t>中化高纤：
1、跟进测试过程中发现的问题处理，目前遗留1项
2、化数仓历史项目费用同步数据验证，发现问题2项
问题1：用户在SAP中使用Ksv5分配的费用没有凭证，导致化数仓视图没有这部分数据，需进一步与SAP团队确认。
问题2：化数仓视图同步的的订单数据缺少正负，需要通过SHKZG字段进行判断（已解决）
工塑：
1、芮城检测功能切换上线
2、跟进测试过程中发现的问题处理，本周解决29项，遗留3项
3、完成扬州ABS使用培训
4、完成配方管理功能切换准备
5、中蓝项目变更后的PIMP合同提交给诗阳总</t>
  </si>
  <si>
    <t>中化高纤：
1、与高纤财务、SAP团队确认过程中基于订单管理的项目费用同步功能效果
2、确认过程中需切换的订单项目信息，准备正式数据切换
3、SAP对接项目接口切换上线
4、跟进测试过程中发现的问题，遗留问题已解决
工塑：
1、配方管理功能上线
2、统计模块优化开发（扬州成品SPC分析、芮城CPK趋势、PC质量、相关性性分析报表优化）
4、跟进试运行过程中的问题，目前遗漏问题1项
5、与中蓝沟通PIMP系统的业务对接功能范围及流程</t>
  </si>
  <si>
    <t>中化高纤：
1、SAP接口切换生产
2、OA备品备件领用WBS关联功能上线
3、WBS切换生产
4、中化高纤项目所有功能已上线
工塑：
1、统计模块报表优化（扬州成品SPC分析、芮城CPK趋势、PC质量、相关性性分析报表优化）
2、上线后问题处理：本周新提出问题及优化点18项，解决17项，目前遗漏问题1项
3、梳理与PIMP系统对接的字段和传输方向，与对方工程师确认接口字段内容
4、PIMP方面提供检测项目接口，LIMS在测试系统进行联调</t>
  </si>
  <si>
    <t>中化高纤：
1、解决使用中发现的问题，本周发现4项，处理4项
2、处理SAP和研发管理系统WBS号不一致问题，重新维护WBS结构
3、跟进研发部在研发管理系统对8月份人工工时进行维护
4、跟进研发部在研发管理系统对8月份资产折旧进行分摊
5、8月份人员工时、资产折旧分摊数据均已确认，上线首月财务月结数据准备完毕
工塑：
1、扬州、研发用户操作手册重新更新，补充优化的功能点
2、上线后问题处理：本周新发现问题8项，解决6项，目前遗漏问题2项处理中
3、新提出报表优化修改需求增加字段、计算公式调整等，暂未处理
4、对接中蓝PIMP获取检测项目的接口
5、开发配方任务推送、配方终止接口</t>
  </si>
  <si>
    <t>中化高纤：
1、解决使用中发现的问题，本周发现3项，处理2项，遗漏1项未处理
2、高新技术企业及研发加计扣除费用明细报表优化
工塑：
1、芮城-用户操作手册更新，补充优化的功能点
2、上线后问题处理：本周新发现问题10项，解决5项，遗漏问题5项处理中
3、跟进与PIMP对接接口开发进度，开发结果回传接口</t>
  </si>
  <si>
    <t>中化高纤：
1、解决使用中发现的问题，本周发现3项，处理3项
2、收集物料管理功能优化点，增加关联项目功能以及物料入库原材料投入记录功能
3、对同步化数仓WBS费用的逻辑进行修改（原SAP提供字段为显示值，无法直接使用）
工塑：
1、扬州与改性研发的报表调整已完成
2、上线后问题处理：本周新发现问题11项，解决8项，遗漏问题3项处理中
3、跟进与PIMP对接接口开发进度，开发结果回传接口</t>
  </si>
  <si>
    <t>中化高纤：
1、与财务及税务人员对高企及加计口径数据进行对照比对
2、对人员工时分配进行限制，一天参加项目工时不能大于10小时
3、物料入库申请增加原材料投入记录
4、解决使用中发现的问题，本周发现问题2项，解决2项，0遗留问题
工塑：
1、扬州-成品SPC分析计算公式优化、芮城-SPC质控分析功能优化
2、上线后问题处理：本周新发现问题7项，解决5项，遗漏问题2项处理中
3、跟进与PIMP对接接口开发进度，与PIMP联调测试原料样、生产样检测结果查询接口</t>
  </si>
  <si>
    <r>
      <rPr>
        <sz val="11"/>
        <color rgb="FF000000"/>
        <rFont val="等线"/>
        <family val="3"/>
        <charset val="134"/>
      </rPr>
      <t>中化高纤：</t>
    </r>
    <r>
      <rPr>
        <sz val="11"/>
        <color theme="1"/>
        <rFont val="等线"/>
        <family val="2"/>
        <scheme val="minor"/>
      </rPr>
      <t xml:space="preserve">
</t>
    </r>
    <r>
      <rPr>
        <sz val="11"/>
        <color rgb="FF000000"/>
        <rFont val="等线"/>
        <family val="3"/>
        <charset val="134"/>
      </rPr>
      <t>1、举行项目成果汇报会议</t>
    </r>
    <r>
      <rPr>
        <sz val="11"/>
        <color theme="1"/>
        <rFont val="等线"/>
        <family val="2"/>
        <scheme val="minor"/>
      </rPr>
      <t xml:space="preserve">
</t>
    </r>
    <r>
      <rPr>
        <sz val="11"/>
        <color rgb="FF000000"/>
        <rFont val="等线"/>
        <family val="3"/>
        <charset val="134"/>
      </rPr>
      <t>2、协助研发人员在系统中操作9月份人员工时和资产折旧分摊</t>
    </r>
    <r>
      <rPr>
        <sz val="11"/>
        <color theme="1"/>
        <rFont val="等线"/>
        <family val="2"/>
        <scheme val="minor"/>
      </rPr>
      <t xml:space="preserve">
</t>
    </r>
    <r>
      <rPr>
        <sz val="11"/>
        <color rgb="FF000000"/>
        <rFont val="等线"/>
        <family val="3"/>
        <charset val="134"/>
      </rPr>
      <t>3、人员工时规划功能优化，增加从历史数据导入功能</t>
    </r>
    <r>
      <rPr>
        <sz val="11"/>
        <color theme="1"/>
        <rFont val="等线"/>
        <family val="2"/>
        <scheme val="minor"/>
      </rPr>
      <t xml:space="preserve">
</t>
    </r>
    <r>
      <rPr>
        <sz val="11"/>
        <color rgb="FF000000"/>
        <rFont val="等线"/>
        <family val="3"/>
        <charset val="134"/>
      </rPr>
      <t>4、解决资产折旧分摊推送SAP失败问题</t>
    </r>
    <r>
      <rPr>
        <sz val="11"/>
        <color theme="1"/>
        <rFont val="等线"/>
        <family val="2"/>
        <scheme val="minor"/>
      </rPr>
      <t xml:space="preserve">
</t>
    </r>
    <r>
      <rPr>
        <sz val="11"/>
        <color rgb="FF000000"/>
        <rFont val="等线"/>
        <family val="3"/>
        <charset val="134"/>
      </rPr>
      <t>5、解决化数仓9月费用明细数据未推送问题</t>
    </r>
    <r>
      <rPr>
        <sz val="11"/>
        <color theme="1"/>
        <rFont val="等线"/>
        <family val="2"/>
        <scheme val="minor"/>
      </rPr>
      <t xml:space="preserve">
</t>
    </r>
    <r>
      <rPr>
        <sz val="11"/>
        <color rgb="FF000000"/>
        <rFont val="等线"/>
        <family val="3"/>
        <charset val="134"/>
      </rPr>
      <t>6、本周新发现问题5项，解决4项，遗留1项正在处理中</t>
    </r>
    <r>
      <rPr>
        <sz val="11"/>
        <color theme="1"/>
        <rFont val="等线"/>
        <family val="2"/>
        <scheme val="minor"/>
      </rPr>
      <t xml:space="preserve">
</t>
    </r>
    <r>
      <rPr>
        <sz val="11"/>
        <color rgb="FF000000"/>
        <rFont val="等线"/>
        <family val="3"/>
        <charset val="134"/>
      </rPr>
      <t>工塑：</t>
    </r>
    <r>
      <rPr>
        <sz val="11"/>
        <color theme="1"/>
        <rFont val="等线"/>
        <family val="2"/>
        <scheme val="minor"/>
      </rPr>
      <t xml:space="preserve">
</t>
    </r>
    <r>
      <rPr>
        <sz val="11"/>
        <color rgb="FF000000"/>
        <rFont val="等线"/>
        <family val="3"/>
        <charset val="134"/>
      </rPr>
      <t>1、上线后问题处理：本周新发现问题6项，解决4项，遗留2项处理中</t>
    </r>
    <r>
      <rPr>
        <sz val="11"/>
        <color theme="1"/>
        <rFont val="等线"/>
        <family val="2"/>
        <scheme val="minor"/>
      </rPr>
      <t xml:space="preserve">
</t>
    </r>
    <r>
      <rPr>
        <sz val="11"/>
        <color rgb="FF000000"/>
        <rFont val="等线"/>
        <family val="3"/>
        <charset val="134"/>
      </rPr>
      <t>2、跟进PIMP联调测试，目前PIMP接口还未做完，还未能实现流程闭环</t>
    </r>
    <r>
      <rPr>
        <sz val="11"/>
        <color theme="1"/>
        <rFont val="等线"/>
        <family val="2"/>
        <scheme val="minor"/>
      </rPr>
      <t xml:space="preserve">
</t>
    </r>
    <r>
      <rPr>
        <sz val="11"/>
        <color rgb="FF000000"/>
        <rFont val="等线"/>
        <family val="3"/>
        <charset val="134"/>
      </rPr>
      <t>3、PIMP优化项目召开项目启动会，明确与LIMS对接第一优先进行</t>
    </r>
    <r>
      <rPr>
        <sz val="11"/>
        <color theme="1"/>
        <rFont val="等线"/>
        <family val="2"/>
        <scheme val="minor"/>
      </rPr>
      <t xml:space="preserve">
</t>
    </r>
    <r>
      <rPr>
        <sz val="11"/>
        <color rgb="FF000000"/>
        <rFont val="等线"/>
        <family val="3"/>
        <charset val="134"/>
      </rPr>
      <t>4、就研发部门新需求进行沟通，需与博科ERP进行对接，待进一步沟通方案</t>
    </r>
  </si>
  <si>
    <r>
      <rPr>
        <sz val="11"/>
        <color rgb="FF000000"/>
        <rFont val="等线"/>
        <family val="3"/>
        <charset val="134"/>
      </rPr>
      <t>中化高纤：</t>
    </r>
    <r>
      <rPr>
        <sz val="11"/>
        <color theme="1"/>
        <rFont val="等线"/>
        <family val="2"/>
        <scheme val="minor"/>
      </rPr>
      <t xml:space="preserve">
</t>
    </r>
    <r>
      <rPr>
        <sz val="11"/>
        <color rgb="FF000000"/>
        <rFont val="等线"/>
        <family val="3"/>
        <charset val="134"/>
      </rPr>
      <t xml:space="preserve">1、跟进解决上线运行中出现的问题，本周新发现问题4项，解决4项，无遗留 </t>
    </r>
    <r>
      <rPr>
        <sz val="11"/>
        <color theme="1"/>
        <rFont val="等线"/>
        <family val="2"/>
        <scheme val="minor"/>
      </rPr>
      <t xml:space="preserve">
</t>
    </r>
    <r>
      <rPr>
        <sz val="11"/>
        <color rgb="FF000000"/>
        <rFont val="等线"/>
        <family val="3"/>
        <charset val="134"/>
      </rPr>
      <t>2、费用类别增加自筹资本化和财政资本化分类</t>
    </r>
    <r>
      <rPr>
        <sz val="11"/>
        <color theme="1"/>
        <rFont val="等线"/>
        <family val="2"/>
        <scheme val="minor"/>
      </rPr>
      <t xml:space="preserve">
</t>
    </r>
    <r>
      <rPr>
        <sz val="11"/>
        <color rgb="FF000000"/>
        <rFont val="等线"/>
        <family val="3"/>
        <charset val="134"/>
      </rPr>
      <t>3、SAP中实现产成品管理，晓菲将在节后提供方案</t>
    </r>
    <r>
      <rPr>
        <sz val="11"/>
        <color theme="1"/>
        <rFont val="等线"/>
        <family val="2"/>
        <scheme val="minor"/>
      </rPr>
      <t xml:space="preserve">
</t>
    </r>
    <r>
      <rPr>
        <sz val="11"/>
        <color rgb="FF000000"/>
        <rFont val="等线"/>
        <family val="3"/>
        <charset val="134"/>
      </rPr>
      <t>工塑：</t>
    </r>
    <r>
      <rPr>
        <sz val="11"/>
        <color theme="1"/>
        <rFont val="等线"/>
        <family val="2"/>
        <scheme val="minor"/>
      </rPr>
      <t xml:space="preserve">
</t>
    </r>
    <r>
      <rPr>
        <sz val="11"/>
        <color rgb="FF000000"/>
        <rFont val="等线"/>
        <family val="3"/>
        <charset val="134"/>
      </rPr>
      <t>1、上线后问题处理：本周新发现问题7项，解决7项，无遗留</t>
    </r>
    <r>
      <rPr>
        <sz val="11"/>
        <color theme="1"/>
        <rFont val="等线"/>
        <family val="2"/>
        <scheme val="minor"/>
      </rPr>
      <t xml:space="preserve">
</t>
    </r>
    <r>
      <rPr>
        <sz val="11"/>
        <color rgb="FF000000"/>
        <rFont val="等线"/>
        <family val="3"/>
        <charset val="134"/>
      </rPr>
      <t>2、PIMP与LIMS对接接口完成开发，节后双方联调</t>
    </r>
  </si>
  <si>
    <t>中化高纤：
晓菲完成产成品管理SAP方案，与用户约定下周一开会沟通
工塑：
PIMP与LIMS开始对接联调
与属地系统负责人沟通研发部新需求实现可行性，沟通后已联系中化信息刘一鸣协调技术人员评估。</t>
  </si>
  <si>
    <t>中化高纤：
1、本周无新增问题。
2、与高纤研发、财务、仓储部门就产成品管理SAP方案进行沟通，用户方拒绝使用研发平台中的出入库管理功能，要求进一步使用SAP的虚拟仓库功能，待晓菲进一步整理方案后再沟通优化。
工塑：
1、本周新增问题2个，均已解决，无遗留问题。
2、PIMP与LIMS开始对接接口已调通，目前PIMP中研发配方检测质量部的流程还在搭建，暂无法进行下一步测试。
3、研发新需求：中化信息刘一鸣协调技术人员完成技术评估，可开发接口供对接使用，已将博科和三维的工作量发送用户方。</t>
  </si>
  <si>
    <t>中化高纤：
1、本周无新增问题。
工塑：
1、本周新增问题5个，均已解决，无遗留问题。
2、PIMP配方检测流程未搭建完成，暂无法进行下一步联调测试，预计本周末完成开发，下周提供测试。
3、配方模块传PIMP配色任务增加色板照片附件传输功能。</t>
  </si>
  <si>
    <t>中化高纤：
1、本周无进展。
工塑：
1、本周新增问题2个，均已解决，无遗留问题。
2、配方模块传PIMP配色任务增加色板照片附件传输功能开发。
研发数字化工作交接材料整理80%，剩余项目文档逐步传网盘。</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</si>
  <si>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</si>
  <si>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</si>
  <si>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高纤2月13日
工塑2月27日</t>
  </si>
  <si>
    <t>高纤4月11日
工塑6月5日</t>
  </si>
  <si>
    <t>高纤8月22日
工塑8月7日</t>
  </si>
  <si>
    <t>业财穿透一体化经营管理平台</t>
  </si>
  <si>
    <t>刘阳/陈沁翔</t>
  </si>
  <si>
    <t>1、完成卓创连通性测试。
2、开始梳理卓创取数维度。
3、运营指标的沟通与讨论。</t>
  </si>
  <si>
    <t>1、运营指标穿透指标范围初步形成
2、开始进行各系统摸盘调研和初步评估</t>
  </si>
  <si>
    <t>1、开展各指标对应的系统的数据抽取准备工作
2、运营主数据梳理工作跟踪</t>
  </si>
  <si>
    <t>主数据、ETL、指标对应源系统数据逻辑梳理持续进行</t>
  </si>
  <si>
    <t>1、确定项目计划
2、启动会材料确认</t>
  </si>
  <si>
    <t>1、项目启动会召开
2、进行调研工作计划安排并开展</t>
  </si>
  <si>
    <t>1、继续开展重点单位业务调研
2、卓越运营绩优平台（测试环境）产品标准功能测试：报表链接上挂</t>
  </si>
  <si>
    <t>1、项目启动召开
2、GU平台-帆软单点身份认证集成沟通
3、5月工作计划沟通</t>
  </si>
  <si>
    <t xml:space="preserve">1、GU平台数据库与帆软权限开放策略
2、根据财务到各业务域关联关系拉齐，并和关键用户确认主题框架（分析主题）
3、发出经营分析体系（初版）
4、进行总部层面-业务+财务研讨
</t>
  </si>
  <si>
    <t>1、总部研讨拉通汇报与整理
2、产业链研讨（河北&amp;添加剂）
3、绩优平台系统集成开发与测试
4、按照系统取数FS模板初步梳理销量销价相关内容</t>
  </si>
  <si>
    <t>1、产业链研讨（中间体&amp;环氧&amp;工塑）
2、绩优系统集成开发实施</t>
  </si>
  <si>
    <t>1、事业部/产业链封闭式研讨
2、结合产业链反馈完善指标字典梳理</t>
  </si>
  <si>
    <t>1、统一事业部层面针对指标字典定义的统一口径
2、销售量价模型修改，客户/产品维度CRM数据梳理
3、基于指标字典进行系统探源</t>
  </si>
  <si>
    <t>1、各业务域指标字典系统数据探源
2、各业务域指标统一口径及拉通，开始进行相应指标源系统逻辑梳理工作
3、日成本/日效益开发逻辑讨论
4、物料主数据手工整理版（BOM及产品分类）进行数仓搭建
5、外部价格数据对应表搭建</t>
  </si>
  <si>
    <t>1、各业务域识别并梳理业务数据治理建议。
2、设计多维模型表样、监控驾驶舱设计（5屏）
3、补充调研：贸易业务调研，适配分析模型
4、基于FS文档开始进行模型搭建及开发（主营业务收入、主营业务成本。（含销量、价格、外贸运保佣、毛利、单位销售成本）
5、日成本日效益——进行取数逻辑开发及模型数据表结构设计</t>
  </si>
  <si>
    <t>1、多维模型表样设计及驾驶舱设计确认
2、业务数据治理建议及添加剂ERP项目同步
3、蓝图设计汇报
4、基于各表样进行UI设计及用户确认
5、财务&amp;销售模型开发
6、财务报表前端开发
7、日成本日效益模型：模型搭建及计算逻辑开发</t>
  </si>
  <si>
    <t>1、蓝图汇报；
2、梳理所有指标，准备第二批源系统取数工作（第二批源系统取数FS编写）；
3、穿透模型实操应用及验证
4、对照表数据表开发
5、各业务域数据模型开发及报表开发
6、日成本效益：模型数据内测及报表开发</t>
  </si>
  <si>
    <t>1、蓝图汇报；
2、业务数据治理沟通；
3、718开发范围开发完成及部署至测试环境；
4、用户测试培训；
5、UAT测试前准备工作。</t>
  </si>
  <si>
    <t>1、718阶段的用户测试；
2、用户测试问题解决；
3、驾驶舱开发。</t>
  </si>
  <si>
    <t>1、718阶段试运行上线问题跟踪与解决；
2、日成本效益表数据核对及校验；
3、专题沟通（数字化+财务）：主数据及中间体产业链分摊规则
4、专题沟通（财务+数字化）：毛利分析表中加入海波龙手工调整数据；
5、专题沟通（风险+采购+数字化）：库存浮动盈亏逻辑确认；
6、830阶段-源系统取数FS完善后文档检查。</t>
  </si>
  <si>
    <t>1、718阶段试运行上线问题解决并进行UAT用户测试签字；
2、日成本效益表数据核对及校验（添加对4、5月数据协同用户进行再验证及差异分析）
3、专题沟通（数字化+生产）生产物耗、能耗分析口径及物料对应关系；
4、专题沟通（数字化+财务）产业链分摊规则-合并抵消逻辑沟通
5、专题沟通（数字化+财务）法人口径毛利-手工调整数据逻辑沟通
6、830阶段分批实施计划重估，提高推进实施效果；
7、830阶段，指标及报表实施开发；
8、跟进中化信息对博科ERP取数逻辑梳理进度；
9、IBM咨询方案中涉及CRM系统开发4套表商机转化分析、销售计划执行分析、交付效率分析、长约执行分析，一并列入一体化项目周报跟踪进度中。</t>
  </si>
  <si>
    <t xml:space="preserve">1、830阶段（34张表）开发进度：集成测试（5张），开发及内测：10张（财务2、采购3、销售2、生产3）
2、专题沟通（数字化+财务）产业链分摊规则-合并抵消逻辑沟通；
3、专题沟通（数字化+财务）法人口径毛利-手工调整数据逻辑沟通
4、数据治理沟通（数字化+IBM+采购+财务）：采购/财务各域
5、主数据维表及基本表设计评审
6、跟进博科ERP取数FS文档编写评估结果
7、跟进LIMS取数方案评估及取数技术对接，MES系统FS逻辑沟通；
8、日成本效益（瑞恒配置表数据导入）重算结果后，进行复测。
</t>
  </si>
  <si>
    <t xml:space="preserve">1、830阶段（34张表）：10张表进入集成测试；5张表进入用户测试
2、管理口径数据逻辑评估
3、数据治理：根据确认情况确定相关责任人和时间，形成治理计划
4、跟进LIMS、MES系统FS修改及数据取数
5、沟通博科ERP取数FS文档编写事宜
</t>
  </si>
  <si>
    <t>1、830阶段（34张表）：除生产报表4张外，其余进入用户测试阶段；
2、用户测试问题沟通与解决；
3、一体化平台针对管理口径逻辑处理评估结果进行沟通
4、博科ERP业务逻辑沟通，FS继续编写中
5、中间体业务系统取数：按照梳理结果进行调整。</t>
  </si>
  <si>
    <t>1、830阶段（34张表）：全部进入用户测试阶段；
2、用户测试问题沟通与解决；
3、抵消+转移+绩效调整方案讨论；
4、博科ERP业务逻辑梳理，FS搜集。</t>
  </si>
  <si>
    <t>1、830阶段（34张表）：按计划推进，争取完成测试确认工作。
2、博科ERP-FS数据验证工作。</t>
  </si>
  <si>
    <t>1、830（34张表）：跟进用户测试进度，上线确认，收集用户权限清单，部署上线。
2、第三阶段FS解读与跟踪
3、第三阶段模型设计和FS逻辑脚本整理。</t>
  </si>
  <si>
    <t>1、第二批次（中间体）：剩余表上线
2、第三批次（环氧）：博科FS技术逻辑解读
3、第三批次（环氧）：PIMP、EAM、LIMS数据结构建表</t>
  </si>
  <si>
    <t>1、中间体上线试运行支持及问题跟踪解决；
2、第三批次（环氧/河北）：推广宣贯、指标逻辑确认及个性化内容搜集；
3、第三批次（环氧/河北）：MES/LIMS/EAM取数。</t>
  </si>
  <si>
    <t xml:space="preserve">1、第三批次（环氧/河北）：底层数据开发
2、除了锦湖LIMS外，其他数据表进行补充抽取
3、日成本效益（星辰&amp;鑫宝）：
1）基础数据采集及梳理；
2）ERP数据（期初库存、采购收货、销售发货）进行采集及核对。
</t>
  </si>
  <si>
    <t>1、第三批次（环氧/河北）：数据开发、取数逻辑差异沟通
2、日成本效益（星辰&amp;鑫宝）：业务系统取数机构通、梳理预估数据需求</t>
  </si>
  <si>
    <t>1、第三批次（环氧/河北）：
1）完成开发、自测；
2）进行集成测试。
2、日成本效益（星辰&amp;鑫宝）：
1）沟通、明确星辰生产数据取数方案，完成数据抽取；根据最终生产数据，确定生产成本结构，联系用户提供预估数据
2）建立鑫宝测算模型、测试；用户试用，验证数据，反馈意见，改进、补充</t>
  </si>
  <si>
    <t>1、第三批次（环氧/河北）：
进行环氧培训及用户测试。
2、日成本效益推广（南通星辰）：
1）MES供应商组织开发，设计、提供一版数据结构和示例数据。
2）整理、检查一体化平台博科ERP业务数据（仓储、采购、销售、费用），视情况补充、调整
3、日成本效益推广（河北鑫宝）
1）建立测算模型、测试
2）用户试用，验证数据，反馈意见，改进、补充</t>
  </si>
  <si>
    <t>1、第三批次（环氧/河北）
1）开展河北的用户培训
2）继续进行环氧测试和问题处理，河北用户测试开始进行。
2、日成本效益推广（南通星辰）：
1）完成MES端数据开发。
2）数据匹配、梳理对应关系，着手模型搭建。
3）整理、检查一体化平台博科ERP业务数据（仓储、采购、销售、费用），视情况补
3、日成本效益推广（河北鑫宝）
1）MES数据治理
2）跟踪问题方案及处理进度，继续用户试用、验证数据，根据反馈意见改进、补充</t>
  </si>
  <si>
    <t>1、第三批次（环氧/河北）
1）环氧/河北UAT测试签字
2）后续问题处理
2、日成本效益推广（南通星辰）：
1）导入SKU-SPU对应、包装费数据，模型搭建，内部测试
2）设计日成本相关数据填报功能
3、日成本效益推广（河北鑫宝）
1）辅料、能耗数据纳入模型，重算一版继续测试
2）跟进MES数据治理（调油业务，物耗能耗数据准确性问题）</t>
  </si>
  <si>
    <t>1、用户使用问题处理与解决
2、二期项目评估与谈判
3、日成本效益推广（南通星辰）：
1）内部测试问题处理，完善数据及计算逻辑
2）开放用户测试与数据验证
3）设计日成本相关数据填报功能
4、日成本效益推广（河北鑫宝）
1）跟进MES数据手动修正情况，重算、再验证
2）跟进MES数据治理、调油业务实现方案
5、添加剂S4取数开发</t>
  </si>
  <si>
    <t>1、中间体/环氧/河北遗留问题处理
2、二期立项修改并提交
3、日成本效益推广（南通星辰）：
1）上周改进意见跟进与处理，2项补充需求评估
2）跟进MES数据补录与修正，保证测试数据准确
3）开放用户测试与数据验证
4）日成本相关数据填报功能，落实开发计划安排
4、日成本效益推广（河北鑫宝）
1）协助用户测试、数据验证
2）根据反馈，调整优化模型
5、添加剂S4取数开发</t>
  </si>
  <si>
    <t>1、环氧/河北试运行上线并上线后支持
2、二期立项审批及准备二期合同
3、日成本效益推广（南通星辰）：
1）跟进MES数据补录与修正，保证测试数据准确
2）配合用户测试与数据验证
3）跟进填报功能开发，配合测试
4、日成本效益推广（河北鑫宝）
1）协助用户测试、数据验证
2）根据反馈，调整优化模型</t>
  </si>
  <si>
    <t>1、根据梳理进展进行复核
2、二期合同条款整理
3、S4取数开发完成并进行功能测试
4、日成本效益推广（南通星辰）：
1）跟进MES数据补录与修正，保证测试数据准确
2）配合用户测试与数据验证
3）跟进填报功能开发，配合测试
5、日成本效益推广（河北鑫宝）
1）协助用户测试、数据验证
2）根据反馈，调整优化模型
6、瑞祥、瑞泰日成本实施准备</t>
  </si>
  <si>
    <t>1、讨论和确定底层技术架构方案
2、沟通卓创API取数问题</t>
  </si>
  <si>
    <t>1、运营指标穿透指标范围沟通
2、准备涉及系统调研计划</t>
  </si>
  <si>
    <t>1、针对运营指标，完成各系统现状摸排调研。
2、讨论及基本确定一期指标范围。
3、对应一期指标范围涉及运营主数据梳理模板确定并发给相关人进行梳理。</t>
  </si>
  <si>
    <t>1、主数据收集：原材料外部价格抽取清单完成；各产业链产品类主数据清单收集（除中化河北）完成
2、针对44个指标对应系统的数据逻辑梳理：SRM完成、CRM完成、MES以视图方式抽取（统一结构数据表设计并发给各家进行确认中）、SAP相关（除了财务模块外的初步逻辑确认，详细梳理未开始）、海波龙接口方式确认（按中间表方式，待最终需求确认后进行海波龙中间表开发）
3、ETL取数：ERP所需源表已进行核对并确认，SRM所需源表已进行核对并确认，CRM/MES下周开始进行连通性测试，待需求确认再进行源表抽取</t>
  </si>
  <si>
    <t>1.针对44个指标对应系统的数据逻辑梳理：SRM完成、CRM完成、ERP相关(能耗成本清单只梳理了中间体产业链，按630要求已梳理完成)、MES相关(南通中蓝IEAM未提供，其余收集完成，按630要求计划以中间体尤其是瑞恒为主，待对方提供视图信息)、海波龙相关（按中间表方式，已设计好我方存储数据的表结构，待最终需求确认后进行海波龙中间表开发，涉及对方开发费用)
2.ETL取数：ERP所需源表已进行核对并确认，SRM所需源表已进行核对并确认，MES等待各家提供数据链接方式与表结构清单，海波龙待中间表开发工作需求确认，CRM梳理完成取数未开始(CRM涉及指标今日会议沟通用ERP数据替换，630计划不涉及CRM数据)</t>
  </si>
  <si>
    <t>1、项目立项完成
2、项目计划及启动会材料准备中</t>
  </si>
  <si>
    <t>1、启动前动员会召开
2、准备启动会材料
3、确认项目实施团队人员</t>
  </si>
  <si>
    <t>1、重点单位业务调研：
1）总部运营部&amp;财务部调研
2）中间体产业链业务调研
2、卓越运营绩优平台（测试环境）产品部署</t>
  </si>
  <si>
    <t>1、重点单位业务调研
2、日成本专题讨论</t>
  </si>
  <si>
    <t>1、经营分析框架及业财穿透逻辑初步设计
2、分析主题场景清单初步梳理
3、总部研讨
4、最佳实施案例分享与展示方案沟通
5、绩优平台系统集成开发</t>
  </si>
  <si>
    <t>1、产业链研讨（河北&amp;添加剂）
2、绩优平台单点登录、多因子集成开发
3、编写销量销价FS模板</t>
  </si>
  <si>
    <t>1、产业链研讨（中间体&amp;环氧&amp;工塑）
2、产业链研讨后业务整理对比差异内容
3、多因子和绩优系统单点集成实施完成
4、帆软和绩优系统集成实施完成
5、邮件链接定向报表打开功能开发实施</t>
  </si>
  <si>
    <t>1、事业部/产业链封闭式研讨
2、结合产业链反馈完善指标字典梳理
3、卓创数据抽取
4、基于FS模板进行销售量、价的模型开发</t>
  </si>
  <si>
    <t>1、指标字典各业务域口径整理
2、销售量价逻辑调整及模型修改
3、客户/产品维度CRM数据拉去及数据核对</t>
  </si>
  <si>
    <t>1、与ERP团队及相应系统负责人沟通各业务域指标数据来源系统、取数逻辑及优先级。
2、日成本日效益模型开发逻辑沟通。
3、组织维度、主数据（基于手工表）开发实施。
4、产品、客户维度探查问题，与CRM负责人沟通调整方案。
5、FS编写进展：主营业务收入、主营业务成本。</t>
  </si>
  <si>
    <t>1、各业务域识别并梳理业务数据治理建议。（进行中）
2、毛利及落袋利润模型业务逻辑梳理。（完成）
3、多维模型表样及监控驾驶舱设计。（进行中）
4、指标字典业务逻辑补充及修改（高优先级指标-财务21个，营销11个，生产8个，采购36个）将结合系统落地进度进行阶段性分布。
5、FS编写：财务、生产、销售、采购相关--共计27份
6、718财务相关指标模型设计（完成）
7、718销售相关指标模型设计（进行中）
8、相关对照表设计（外部价格物料对照、生产成本要素对照、销售计量单位换算MT对照）
9、财务模型开发（进行中）
10、日成本日效益模型：取数逻辑梳理、表结构设计</t>
  </si>
  <si>
    <t>1、各业务域数据治理建议及添加剂ERP项目组沟通治理建议。（完成）
2、6个高阶模型设计。（完成）
3、多维模型表样设计（销售13张；采购15张；生产9张；财务15张）。（完成）；去重后设计表样共计48张，根据表样内容进行落地情况分析，718实施具备落地15个（财务3、销售3、采购7、生产2）
4、驾驶舱设计（5屏）。（完成）
5、718各业务域指标字典数据模型设计（财务15、销售16、采购28、生产8）（进行中）
6、对照表数据收集（财务成本要素对照表、销售计量单位、大宗原材料表）（完成）
7、718模型数据开发：财务模型数据开发（完成80%）；日成本日效益数据开发（完成80%）</t>
  </si>
  <si>
    <t>1、蓝图报告准备和预汇报；
2、驾驶舱UI设计：各业务域主题UI设计完成；
3、报表开发：财务3张表和销售3张表开发完成、生产2张表和采购7张表结构开发完成，数据下周一绑定，日成本效益报表开发完成，数据未加载。
4、日成本效益模型内测及内测问题解决及模型优化。
5、718测试人员搜集及确定。
6、第二批指标源数据抽取FS文档编写及搜集中。</t>
  </si>
  <si>
    <t>1、蓝图汇报；
2、业务数据治理沟通：生产、销售
3、718相关指标&amp;报表开发；
4、用户测试培训及用户测试脚本编写</t>
  </si>
  <si>
    <t>1、718阶段用户测试及问题解决；
2、718阶段上线试运行范围确定及发布至正式环境（13张报表）
3、驾驶舱测试工作开展；
4、主数据维度数据及映射关系梳理
5、830阶段（源系统取数FS）补充与完善</t>
  </si>
  <si>
    <t xml:space="preserve">1、718阶段试运行上线问题跟踪与解决；共计问题114个（其中数据问题：99个），已关闭46个，待复测48个，处理中5个。
2、日成本效益表数据核对及校验（对已明确方案的进行数据处理）
3、主数据及产业链分摊规则已专题沟通，合并抵消逻辑待总部财务梳理后再进行沟通；
4、法人口径的毛利分析表中加入海波龙手工调整数据（未沟通，待总部财务梳理后再进行沟通）；
5、库存浮动盈亏逻辑沟通确认，实施开发中；
6、830阶段-源数据取数FS文档逻辑解读及问题沟通。
</t>
  </si>
  <si>
    <t>1、718阶段试运行上线问题解决，共计问题114个。已关闭56个，待复测43个，处理中3个。由于属地用户要求按新表样改完后再签字，故将并于830阶段合并用户测试后进行签字确认。
2、830阶段按照迭代开发进行计划，本周完成开发及内测：5张（财务1、采购3、销售1、生产1）
3、完成专题沟通（数字化+生产）生产物耗、能耗分析口径及物料对应关系；
4、博科ERP取数FS文档编写及指标清单内容讲解
5、CRM系统4套表，确定“交付效率分析”表不具备开发前提（剔除），另3套表制定开发计划。
6、报表开发参数规范制定。
7、主数据维表及填报表梳理。</t>
  </si>
  <si>
    <t xml:space="preserve">1、830阶段（34张表）：5张表完成集成测试，10张表（开发及内测）
2、完成专题沟通（数字化+财务）：产业链分摊规则-合并抵消（除管理考核调整外）
3、完成专题沟通（数字化+财务）：法人口径毛利-手工调整
4、完成数据治理沟通（数字化+IBM+采购+财务）：采购/财务各域
5、完成主数据维表及基本表设计评审
6、基于博科ERP取数FS编写评估（第一版）根据第二版评估文件
7、LIMS取数方案评估完成，计划8月15日完成取数
8、日成本效益（瑞恒配置表数据导入）重算结果，财务复测中。
</t>
  </si>
  <si>
    <t>1、830阶段（34张表）：22张表进入集成测试；17张进入用户测试
2、进行了中间体产业链相关公司用户的测试培训，相应的测试用例已发给用户进行测试工作
3、一体化平台针对管理口径逻辑处理流程进行可行性方案评估
4、博科ERP取数FS文档开始编写中
5、中间体业务系统取数：LIMS-检测成本（财务做账规则正在梳理中）；EAM-装置维度（车间与装置对应关系正在梳理中）</t>
  </si>
  <si>
    <t>1、830阶段（34张表）：进入用户测试阶段（26张），进入集成测试阶段（30张）
2、用户测试问题沟通与解决；
3、抵消+转移+绩效调整方案评估；
4、博科ERP业务逻辑梳理，已会议沟通2次，FS目前提交9份。
5、河北新材ERP系统FS文档编写完成。</t>
  </si>
  <si>
    <r>
      <t>1、830阶段（34张表）：全部进入用户测试阶段，</t>
    </r>
    <r>
      <rPr>
        <b/>
        <sz val="11"/>
        <color rgb="FF000000"/>
        <rFont val="等线"/>
        <family val="3"/>
        <charset val="134"/>
      </rPr>
      <t>财务（4）</t>
    </r>
    <r>
      <rPr>
        <sz val="11"/>
        <color theme="1"/>
        <rFont val="等线"/>
        <family val="2"/>
        <scheme val="minor"/>
      </rPr>
      <t>-6个问题待解决；19个已解决待复测；</t>
    </r>
    <r>
      <rPr>
        <b/>
        <sz val="11"/>
        <color rgb="FF000000"/>
        <rFont val="等线"/>
        <family val="3"/>
        <charset val="134"/>
      </rPr>
      <t>采购（15）</t>
    </r>
    <r>
      <rPr>
        <sz val="11"/>
        <color theme="1"/>
        <rFont val="等线"/>
        <family val="2"/>
        <scheme val="minor"/>
      </rPr>
      <t>-9张表已核对完成，5张表-3个问题待解决，7个已解决待复测；</t>
    </r>
    <r>
      <rPr>
        <b/>
        <sz val="11"/>
        <color rgb="FF000000"/>
        <rFont val="等线"/>
        <family val="3"/>
        <charset val="134"/>
      </rPr>
      <t>生产（9）</t>
    </r>
    <r>
      <rPr>
        <sz val="11"/>
        <color theme="1"/>
        <rFont val="等线"/>
        <family val="2"/>
        <scheme val="minor"/>
      </rPr>
      <t>-瑞恒测试情况（1张无问题，4张无测试问题，4张-7个待解决，8个待复测），瑞祥/瑞泰无问题提出；</t>
    </r>
    <r>
      <rPr>
        <b/>
        <sz val="11"/>
        <color rgb="FF000000"/>
        <rFont val="等线"/>
        <family val="3"/>
        <charset val="134"/>
      </rPr>
      <t>销售（6）</t>
    </r>
    <r>
      <rPr>
        <sz val="11"/>
        <color theme="1"/>
        <rFont val="等线"/>
        <family val="2"/>
        <scheme val="minor"/>
      </rPr>
      <t>-2个问题待解决，7个待复测。
2、抵消+转移+绩效调整方案沟通，结论：先按照临时方案在一体化平台进行逻辑处理，结果暂不反推海波龙。待数据核对完整后，再进行反推功能的评估。
3、博科ERP-FS共收取36份。第一版已全部提交。</t>
    </r>
  </si>
  <si>
    <t>1、830阶段（34张表）：采购-15（整体进度90%，15张表已签字，财务相关指标待财务复核）；销售-6（整体进度80%，财务相关指标待财务复核）；生产-9（整体进度80%，6张表已签字，3张表测试中）；财务-4（整体进度70%，报表测试中）。
2、博科ERP-FS已收齐，进行抽取数据验证中。</t>
  </si>
  <si>
    <t>1、第二批次（中间体）-上线情况：采购14张表，浮动盈亏_原材料暂不上线；生产9张表；财务仅上线毛利分析表；销售5张表，销售目标达成分析暂不上线；日成本效益上线。
2、第三批次（环氧）-博科ERP源表完整性检查</t>
  </si>
  <si>
    <t>1、第二阶段（中间体）：所有表上线试运行（共计上线39张多维表）
2、第三批次（环氧）：博科FS技术逻辑解读
3、第三批次（环氧/河北）-MES/LIMS/EAM取数情况：
1）源系统取数FS都已提供
2）环氧情况：锦湖MES（没上）；锦湖EAM和南通星辰MES、EAM、LIMS都在PIMP上，下周上半周完成取数；
3）河北新材情况：EAM下周上半周完成取数，MES和LIMS待供应商提供数据字典后进行取数（下周继续催促供应商提供）。
目前存在问题：锦湖LIMS供应商要求开发视图提供，但目前仍无评估开发工作量。</t>
  </si>
  <si>
    <t>1、环氧&amp;河北新材：推广宣贯，各业务域进行具体指标逻辑进行确认和个性化内容搜集；
2、环氧&amp;河北新材（业务系统取数）：
1）博科ERP一共已取151张源表（按目前FS情况），后续按开发需要补充；
2） MES：除了“生产装置投入表”外，其他表已抽取；
3）锦湖LIMS：锦湖费用确认后再抽取。
3、日成本效益（星辰&amp;鑫宝）：
1）日成本模型介绍
2）现场基于环氧&amp;河北现状进行业务调研并确定本次推广实施范围。</t>
  </si>
  <si>
    <t>1、第三批次（环氧/河北）：数据梳理及数据开发
2、日成本效益（星辰&amp;鑫宝）：
1）调研、沟通日成本效益模型，了解业务需求、业务系统数据情况；
2）与MES系统顾问沟通生产相关数据的获取，检查SAP中采购、仓储、销售、生产等业务数据情况。</t>
  </si>
  <si>
    <t>1、第三批次（环氧/河北）：
1）整理开发进度：财务（90%）、销售（90%）、采购（90%）、生产（80%），开发过程中对取数逻辑差异进行沟通。
2）单元测试整体进度：40%
2、日成本效益（星辰&amp;鑫宝）：
1）针对MES、ERP中生产相关数据的准确性、取数难度，沟通、讨论测算方案；
2）与一体化项目组，沟通博科ERP采购、仓储、销售、生产等业务数据获取；
3）梳理预估数据需求，联系用户提供。</t>
  </si>
  <si>
    <t>1、第三批次（环氧/河北）：
进入集成测试。
2、日成本效益推广（南通星辰）：
1）沟通生产数据取数方案，确定从MES采集实际的消耗数据（部分无仪表支撑的，由用户填报）
2）南通星辰验证取数、填报方案，评估MES开发周期及资源（预计10月底完成MES取数、填报开发）
3、日成本效益推广（河北鑫宝）
1）结合MES采集的生产数据，与事前算赢的生产工序数据对照，梳理需补充的消耗项、确定成本分摊规则
2）生产工序特殊问题讨论（喹啉工序的拆分、成本分摊方式）
3）SAP中业务数据取数（仓储、采购、销售）</t>
  </si>
  <si>
    <t>1、第三批次（环氧/河北）：
1）进行了环氧的用户培训
2）用户测试：销售（7张）/采购（15张）/生产（6张）已用户测试签字，采购（4张）、财务/生产（3张）正在测试中。
2、日成本效益推广（南通星辰）：
1）MES供应商组织开发，设计，已提供一版数据结构，和部分示例数据。
2）整理一体化平台的产品SKU数据，与MES的产品SPU进行对应，协调财务用户梳理各SKU的包装费用成本
3、日成本效益推广（河北鑫宝）
1）完成日成本模型搭建
2）完成用户操作培训，模型逻辑讲解与沟通，开放用户测试
3）主要问题：MES部分数据缺失、不准确，造成日成本测算偏差。（用户方研究解决方案，进行数据补充和修正）</t>
  </si>
  <si>
    <t>1、第三批次（环氧/河北）
1）进行河北UAT测试培训
2）开展河北UAT测试
2、日成本效益推广（南通星辰）：
1）MES端SPU投入产出数据抽取开发完成。
2）产品数据匹配、梳理对应关系，整理SKU包装成本，着手模型搭建。
3）整理、检查一体化平台博科ERP业务数据（仓储、采购、销售、费用）
3、日成本效益推广（河北鑫宝）
1）明确工序能耗的取数方式及范围，梳理MES未包含的工序辅料消耗测算规则及范围
2）产品销售运费单价已安排整理，MES数据准确性问题、调油业务数据问题业务研究中</t>
  </si>
  <si>
    <t>1、用户使用问题处理与解决
2、二期项目立项准备与提交
3、二期项目评估与谈判
4、日成本效益推广（南通星辰）：
1）梳理、映射基础数据、SKU包装费数据，导入SKU-SPU对应，搭建模型
2）采集、检查一体化平台库存、采购、销售业务数据
3）协同用户收集10月装置费用、期间费用数据，运行模型，内部测试
5、日成本效益推广（河北鑫宝）
1）辅料、能耗数据纳入模型，重算一版数据，继续测试、验证
2）排查MES异常数据，协同生产用户分析误差原因、修正，沟通解决方案（部分数据准确性问题涉及仪表升级，属地和MES厂家沟通方案，暂时手动调整误差）
5、添加剂S4取数方案评估</t>
  </si>
  <si>
    <t>1、用户使用问题处理与解决
2、二期项目第三轮谈判
3、日成本效益推广（南通星辰）：
1）内部测试问题处理与完善，MES投入产出数据核对，反馈错、漏问题联系调整
2）生成11月测试数据，对用户演示报表功能、沟通计算逻辑，收集改进意见（2项基础数据补充：运费单价预估、多产品成本分摊比例；2项MES数据补充；2项补充需求：物料分类、能源价格预估）
3）设计日成本相关数据填报功能
4、日成本效益推广（河北鑫宝）
1）跟进MES数据手动修正情况
2）使用MES调整后的11月数据重新测试（MES数据仍有差异，已导出联系用户核对）</t>
  </si>
  <si>
    <t>1、中间体/环氧/河北遗留问题处理
2、二期立项提交
3、日成本效益推广（南通星辰）：
1）协调一体化项目组，完善博科ERP销售订单数据；沟通日成本相关数据填报功能，落实开发计划安排
2）跟进MES数据补录与修正；
3）上周改进意见跟进与处理，研究特种环氧多牌号的核算问题；
4）开放用户测试与数据验证
4、日成本效益推广（河北鑫宝）
1）协助用户导出核对、补充11月MES数据
2）协助用户测试、数据验证，完善数据</t>
  </si>
  <si>
    <t>1、梳理目前进展：空指标清单、新需求开发、指标说明细化、访问记录统计报表、财务利润表和河北管理口径毛利分析表测试
2、二期合同准备
3、S4取数开发，开发进度完成80%
4、日成本效益推广（南通星辰）：
1）MES投入产出数据完善：四氢呋喃产出补充，特种环氧产品按产线细分
2）完善报表界面（增加物料分类查询，优化界面显示等）；
3）开发月度预估数据填报功能；（完成50%）
5、日成本效益推广（河北鑫宝）
1）协助用户补充、完善MES投入产出数据（卧罐液位体积计算等问题）
2）预计本周日完成数据补充，下周重算数据</t>
  </si>
  <si>
    <t>OA整合三期</t>
  </si>
  <si>
    <t>审计监督引擎</t>
  </si>
  <si>
    <t>薛杨怀超</t>
  </si>
  <si>
    <t>06-√全部</t>
  </si>
  <si>
    <t xml:space="preserve">一、审计监督平台上线运行跟踪及功能优化：
1) OA集成，OA系统数仓(含总部数据)取数确定方案并进行接口实施与数据测试，预期进度100%；
2) 平台日常运维以及其他可能存在的测试与问题处理；
二、工塑纪检平台
1）分批次完成用户提出的各报表新的需求点，截止月底新的需求共计15处。
三、淮河化工纪检平台
1）如淮河化工系统流程完全确定的情况下，完成方案的设计与数据取数；
四、事业部审计平台
1）OA流程清单确认的情况下，获取总部的业务流程数据并完成校验。
</t>
  </si>
  <si>
    <t xml:space="preserve">一、审计监督平台上线运行跟踪及功能优化：
1) OA集成，OA系统数仓(含集团数据)取数如OA业务对接人员有时间确定方案并进行接口实施与数据测试；
2）与中化集团的IT人员沟通集团风控平台与事业部目前的审计监督平台的差异点并汇总差异材料
3) 平台日常运维以及其他可能存在的测试与问题处理；
二、工塑纪检平台
1）完成第三次新需求文档，需求与优化点共9处。
三、淮河化工纪检平台
1）如淮河化工系统流程完全确定的情况下，完成方案的设计与数据取数；
</t>
  </si>
  <si>
    <t xml:space="preserve">一、审计监督平台上线运行跟踪及功能优化：
1) OA集成，OA系统数仓(含集团数据)取数如OA业务对接人员有时间确定方案并进行接口实施与数据测试；
2）集团智能监控平台进度跟进；
3) 平台日常运维以及其他可能存在的测试与问题处理；
二、工塑纪检平台
1）完成CRM报表新接口与新增字段取数以及报表展示；
2）完成ERP存货模块芮城数据合并；
三、淮河化工纪检平台
1）如淮河化工系统流程完全确定的情况下，完成方案的设计与数据取数；
</t>
  </si>
  <si>
    <t xml:space="preserve">一、审计监督平台上线运行跟踪及功能优化
1) 平台优化，12月识别项目658个，高风险项目25个，报表二次开发1处，数据筛选条件增加中化河北三家公司数据。
二、工塑纪检平台
工塑纪检系统截止12月底完成新的需求文档2份
1) 完成报表逻辑修改： SRM采购，修改1处；CRM销售，修改6处。
2) 完成报表数据与功能优化： SAP资金，优化3处；SRM采购，优化5处；CRM销售，优化2处。
</t>
  </si>
  <si>
    <t>一、审计监督平台上线运行跟踪及功能优化
1) 2025年1月识别项目689个，发现高风险项目19个。
2)南通星辰数据上线，优化SRM取数存储过程对部分数据格式清洗。
3)集团智能监控平台截止1月底完成情况与审计监督平台对比评估分析。
二、工塑纪检平台
工塑纪检系统截止1月底完成新的需求文档1份
1) 完成报表逻辑优化：CRM销售，优化2处。
2) 完成报表数据与功能优化： 应收报表，优化2处；存货报表，优化2处。
3) 完成芮城SRM报表、费控报表数据合并。</t>
  </si>
  <si>
    <t>第四周（9/26-9/30）</t>
  </si>
  <si>
    <t>吴同</t>
  </si>
  <si>
    <t>1、中化高纤：待晓菲进一步测试产成品虚拟仓库方案后再与用户沟通
2、工塑：继续与PIMP团队一起测试对接，本周完成
3、系统运维管理细节进行交接</t>
  </si>
  <si>
    <t>1、中化高纤：待进一步测试产成品虚拟仓库方案后再与用户沟通
2、工塑：由于配色需求涉及PIMP后续流程，根据三维评估情况再看下一步如何操作。</t>
  </si>
  <si>
    <t>1、中化高纤：由项目组对比字段需求后，召集用户开会讨论新方案，方案确定后开展开发工作。
2、工塑：继续配合PIMP项目组测试。</t>
  </si>
  <si>
    <t>1、中化高纤：12月1日召集用户开会讨论新方案，方案确定后开展开发工作。
2、工塑：继续配合PIMP项目组测试。</t>
  </si>
  <si>
    <t>1、中化高纤：根据之前张晓峰整理的方案，由项目组对比字段需求。
2、工塑：本周与PIMP项目组沟通配色反馈的新增需求，LIMS项目组无需调整变更。</t>
  </si>
  <si>
    <t>1、中化高纤：由于高纤关键用户无法开会，关于产生品管理的方案沟通会需改到下周。
2、工塑：本周与PIMP项目组持续测试。</t>
  </si>
  <si>
    <t>集团HSE系统建设2026</t>
  </si>
  <si>
    <t>丁翔</t>
  </si>
  <si>
    <t>调研事业部下属20家HSE自建系统企业</t>
  </si>
  <si>
    <t>工塑事业部调研</t>
  </si>
  <si>
    <t>扬州工程塑料现场调研</t>
  </si>
  <si>
    <t>1、扬州工程塑料调研
2、芮城调研
3、富比亚调研</t>
  </si>
  <si>
    <t>中间体MES二期&amp;三期：瑞祥&amp;瑞泰</t>
  </si>
  <si>
    <t>杨斌斌</t>
  </si>
  <si>
    <t>1 、硬件和网络 网闸、防火墙调试
2 、服务器及网络 集团与瑞祥办公网络端口申请 
3 、报警模块 报警管理M&amp;R组态
4 、详细设计 详细设计讨论签署 
5、能源模块
能源管理数据、报表收集
6 、MES程序部署 未开始 
7 、能源流程图绘制 关键用户 指导用户进行绘制
8、 实时数据 各装置核查、校对报表工组关键用户
9 、电力接口 和远API接口讨论确认</t>
  </si>
  <si>
    <t>1 、硬件和网络 网闸、防火墙调试
2、系统部署（生产管理平台、能源管理）
3、报警管理M&amp;R组态
4、能源管理数据和表样收集；能源流程图绘制；API接口开发</t>
  </si>
  <si>
    <t xml:space="preserve">1、报警管理M&amp;R组态
2、能源流程图绘制（剩余3张电力图）及发布
3、和远API接口开发
4、电力数据同步增补PHD采集并验证
5、能碳平台工厂建模，包括组织架构，资产，班组轮转，统计周期、物料编码、BOM
6、全厂能源计量，计量点位号收集，并同步增补PHD采集
7、能源计量点维护、能源统计模型搭建
</t>
  </si>
  <si>
    <t>1、详细设计讨论签署
2、能源流程图绘制
3、和远API接口开发
4 、电力数据同步增补PHD采集并验证
5、能源计量点位号核对（各业务车间核对），数据采集验证，统计模型验证
6、能源电力数据统计与电仪部门及能源部门进行业务梳理并建模
7、能源装置能耗及碳排报表开发_x000D_</t>
  </si>
  <si>
    <t>1、能源统计报表开发并进行数据验证
2、能碳管理用户培训及编制用户手册
3、报警管理数据验证
1、权限管理 车间角色收集组态
2、权限管理 用户信息组态用户角色
3、数据收集 能源统计报表收集
4、报警管理 报警数据与DCS数据一致性验证 
开展建议方案审核
编制需求说明书
编制需求说明书
关总：要加快进度，争取2025Q1完成寻源。</t>
  </si>
  <si>
    <t>1、权限管理 车间角色收集组态 进行中_x000D_2、权限管理 用户信息组态用户角色 进行中_x000D_3、数据收集 能源统计报表收集 已完成_x000D_4、报警管理 报警数据与DCS数据一致性验证 已完成</t>
  </si>
  <si>
    <t>1、安排瑞泰MES需求评审工作计划
2、安排瑞泰MES单一来源评审计划
3、瑞祥MES报警管理和能碳管理模块试运行，重点进行数据验证工作</t>
  </si>
  <si>
    <t>1、瑞祥MES工艺报警管理系统试运行，梳理优化内容
2、瑞泰MES需求确认及整理事业部立项材料</t>
  </si>
  <si>
    <t>1、瑞祥MES工艺报警优化；能源管理试运行
2、瑞泰MES立项材料整理初版</t>
  </si>
  <si>
    <t>1、瑞祥MES工艺报警优化；能源管理试运行
2、事业部立项材料提交预审</t>
  </si>
  <si>
    <t>瑞祥：
1、工艺报警试运行优化；2、能源管理试运行。
瑞泰：
1、立项材料预审后修正，正式提交事业部立项材料
2、组织用户进行单一来源评审；
3、事业部立项评审会</t>
  </si>
  <si>
    <r>
      <t>1、正式提交事业部立项，等待审批；
2、</t>
    </r>
    <r>
      <rPr>
        <sz val="9"/>
        <color rgb="FFFD4147"/>
        <rFont val="微软雅黑"/>
        <family val="2"/>
      </rPr>
      <t>物理服务器自行购买</t>
    </r>
    <r>
      <rPr>
        <sz val="11"/>
        <color rgb="FF000000"/>
        <rFont val="微软雅黑"/>
        <family val="2"/>
      </rPr>
      <t>。</t>
    </r>
  </si>
  <si>
    <t>1、正式提交事业部立项，等待审批；</t>
  </si>
  <si>
    <t>1.正式提交事业部立项，等待审批；</t>
  </si>
  <si>
    <t>1.启动寻源工作；
2.采购公示3天；
3.邀请应标后，截止4.2；</t>
  </si>
  <si>
    <t>1.组织采购谈判及评审；
2.谈判结果审批；
3.单一来源谈判结果公示3天；</t>
  </si>
  <si>
    <t>1.项目启动会；
2.项目需求调研；</t>
  </si>
  <si>
    <t>1.需求调研工作持续开展；
2.瑞泰OPC AE和DA授权情况现场测试调研，形成采购需求；
3.MES云端服务器租赁扩容准备；
4.MES本地采集服务器及其软件采购；</t>
  </si>
  <si>
    <r>
      <t xml:space="preserve">1.需求调研：收集基础数据；
2.OPCDA&amp;AE授权购买；
3.MES云服务器租赁扩容准备；
4.软硬件商务推进和购买；
5.OPC服务器硬件协调采购；
</t>
    </r>
    <r>
      <rPr>
        <b/>
        <sz val="9"/>
        <color rgb="FFFD4147"/>
        <rFont val="微软雅黑"/>
        <family val="2"/>
      </rPr>
      <t>6、关总：梳理瑞泰的网络拓扑，趁机进行优化（网络分层、网络安全等）</t>
    </r>
  </si>
  <si>
    <t>1.需求调研：各模块基础数据收集；业务流程图绘制；需求说明书编制和确认；
2.OPC授权采购进行中；
3.MES云服务器租赁扩容准备中；
4.软硬件现场安装调试；
5.MES标准开发培训；</t>
  </si>
  <si>
    <t>1.需求调研：模块基础数据收集；业务流程编制；需求说明书编制；位号收集；
2.MES云服务器扩容：软件安装调试；
3.OPC授权采购进行中；
4.瑞泰现场软硬件：采购发货；
5.接口业务讨论：瑞祥LIMS,一卡通；瑞泰LIMS,WMS,SAP；</t>
  </si>
  <si>
    <t>1.蓝图设计：蓝图编制和讨论；业务流程讨论；
2.基础设施：瑞泰采集服务器现场实施；访问MES权限开通；
3.配套环境：OPC授权采购进行中；
4.基础数据：瑞泰物料、单位数据梳理；
5.系统集成：瑞祥LIMS、一卡通与厂商接口讨论；瑞泰LIMS接口需求讨论；</t>
  </si>
  <si>
    <t>1.蓝图设计：瑞祥蓝图设计预评审；瑞泰蓝图设计编制；
2.基础设施：瑞祥PHD OPC服务器(对外发布)更换及部署；瑞泰报警数据到事业部存储网络配置调试；
3.系统集成：与厂商讨论技术方案，估算费用，启动厂商商务流程；
4.功能实施：瑞泰UI流程图绘制实施进行中；瑞泰数据采集实施进行中；瑞祥工艺管理的操作记录实施进行中；</t>
  </si>
  <si>
    <t>1.蓝图设计：接口方案预评审，设计文档预评审；
2.基础设施：瑞祥PHD OPC服务器更换并部署，瑞泰OPC DA&amp;AE授权采购，现场PKS采集可靠性验证；
3.瑞祥实施：工艺流程图绘制；工艺技控点管理建模；物料计量点组态；
4.瑞泰实施：PHD数据采集组态、流程图收集；工艺流程图绘制；物料计量点组态；能源计量点组态；</t>
  </si>
  <si>
    <t xml:space="preserve">1.蓝图设计：设计文档问题修改，编制汇报材料；
2.基础设施：瑞祥PHD OPC服务器部署启用，瑞泰OPC DA&amp;AE授权采购，PKS采集可靠性验证；瑞泰网络分层方案讨论确定；
3.瑞祥实施：继续工艺流程图绘制工作；操作管理新增两套装置纳入；物料计量点组态；
4.瑞泰实施：继续工艺流程图绘制工作；物料计量点组态；能源计量点组态；报警事件采集；DCS数据采集等数采工作；
</t>
  </si>
  <si>
    <t xml:space="preserve">1.蓝图设计：设计文档问题修改，与各系统供应商讨论接口；编制汇报材料；
2.基础设施：瑞祥PHD OPC服务器部署启用，瑞泰OPC DA&amp;AE授权采购，PKS采集可靠性验证；瑞泰网络分层改造；
3.瑞祥实施：继续工艺流程图绘制工作；物料计量点组态；工艺技控点组态；
4.瑞泰实施：继续工艺流程图绘制工作；物料计量点组态；能源计量点组态；报警事件采集；工艺技控点组态；
</t>
  </si>
  <si>
    <t xml:space="preserve">1.蓝图设计：评审汇报；
2.基础设施：瑞祥PHD OPC服务器部署启用，瑞泰OPC DA&amp;AE授权采购，PKS采集可靠性验证；瑞泰网络分层改造；
3.瑞祥实施：继续工艺流程图绘制工作；物料计量点组态；工艺技控点组态；操作合格率报表调试；物料计量点和装置组态；
4.瑞泰实施：继续工艺流程图绘制工作；物料计量点组态；能源计量点组态；报警事件采集；工艺技控点组态；
</t>
  </si>
  <si>
    <t>1.分解模块功能开发、测试、培训、上线、问题处理等各阶段任务；设计文档签字；
2.基础设施：瑞泰网络迁移改造（尼龙66、湿氧采集可靠性问题查找、氯代酯网络不通的调试），OPC DA&amp;AE 采购；
3.瑞祥实施：工艺管理模块：工艺流程图绘制，报表工作；物料管理模块：物料计量组态；生产调度管理：组态；操作管理：组态；
4.瑞泰实施：工艺管理模块：报表开发；</t>
  </si>
  <si>
    <t>1.蓝图设计：设计文档签字；
2.基础设施：瑞泰网络迁移改造（尼龙66、湿氧采集可靠性问题处理、氯代酯网络不通的问题处理），OPC DA&amp;AE 采购；
3.瑞祥实施：工艺管理模块：工艺流程图绘制，报表工作；物料管理模块：物料计量组态；生产调度管理：组态；操作管理：组态；
4.瑞泰实施：工艺管理模块：报表开发；</t>
  </si>
  <si>
    <t>1.蓝图设计：设计文档签字；
2.基础设施：瑞泰网络迁移改造（尼龙66、湿氧采集可靠性问题处理、氯代酯网络不通的问题处理），OPC DA&amp;AE 采购；
3.瑞祥实施：
3.1：工艺管理模块实施；3.2：物料管理模块实施；3.3：调度管理模块实施；3.4：操作管理模块实施；3.5：系统集成开发；
4.瑞泰实施：
4.1：工艺管理模块实施；4.2：物料管理模块实施；4.3：能源管理模块实施；4.4：报警管理模块实施；4.5：操作管理模块实施；4.6：生产统计模块实施；</t>
  </si>
  <si>
    <t>1.基础设施：瑞泰网络迁移改造（尼龙66、湿氧采集可靠性问题处理、氯代酯网络不通的问题处理），OPC DA&amp;AE 采购；
2.瑞祥实施：
2.1：工艺管理模块实施；2.2：物料管理模块实施；2.3：调度管理模块实施；2.4：操作管理模块实施；2.5：系统集成开发；
3.瑞泰实施：
3.1：工艺管理模块实施；3.2：物料管理模块实施；3.3：能源管理模块实施；3.4：报警管理模块实施；3.5：生产统计模块实施；3.6：系统集成开发；</t>
  </si>
  <si>
    <t>1.基础设施（瑞泰）：和利时的两套待和利时工程师现场实施；湿氧待下次停车修改OPC服务账号密码以完成采集；
2.瑞祥实施：
2.1：工艺管理模块；2.2：物料管理模块；2.3：调度管理模块；2.4：持续改善模块；2.5：系统集成接口
3.瑞泰实施：
3.1：工艺管理模块；3.2：物料管理模块；3.3：能源管理模块；3.4：报警管理模块；3.5：生产统计模块；3.6：批次管理模块</t>
  </si>
  <si>
    <r>
      <rPr>
        <sz val="9"/>
        <color rgb="FF2F5597"/>
        <rFont val="微软雅黑"/>
        <family val="2"/>
        <charset val="134"/>
      </rPr>
      <t>1.基础设施：湿氧待下次停车修改OPC服务账号密码以完成采集；Route功能迁移至PHD Shadow服务器工作；</t>
    </r>
    <r>
      <rPr>
        <sz val="11"/>
        <color theme="1"/>
        <rFont val="等线"/>
        <family val="2"/>
        <scheme val="minor"/>
      </rPr>
      <t xml:space="preserve">
</t>
    </r>
    <r>
      <rPr>
        <sz val="9"/>
        <color rgb="FF2F5597"/>
        <rFont val="微软雅黑"/>
        <family val="2"/>
        <charset val="134"/>
      </rPr>
      <t>2.瑞祥实施：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2.1：工艺管理模块；2.2：物料管理模块；</t>
    </r>
    <r>
      <rPr>
        <sz val="9"/>
        <color rgb="FF2F5597"/>
        <rFont val="微软雅黑"/>
        <family val="2"/>
        <charset val="134"/>
      </rPr>
      <t>2.3：调度管理模块；2.4：持续改善模块；</t>
    </r>
    <r>
      <rPr>
        <sz val="9"/>
        <color rgb="FF2F5597"/>
        <rFont val="微软雅黑"/>
        <family val="2"/>
        <charset val="134"/>
      </rPr>
      <t>2.5：操作管理模块；2.6：系统集成接口；</t>
    </r>
    <r>
      <rPr>
        <sz val="11"/>
        <color theme="1"/>
        <rFont val="等线"/>
        <family val="2"/>
        <scheme val="minor"/>
      </rPr>
      <t xml:space="preserve">
</t>
    </r>
    <r>
      <rPr>
        <sz val="9"/>
        <color rgb="FF2F5597"/>
        <rFont val="微软雅黑"/>
        <family val="2"/>
        <charset val="134"/>
      </rPr>
      <t>3.瑞泰实施：</t>
    </r>
    <r>
      <rPr>
        <sz val="11"/>
        <color theme="1"/>
        <rFont val="等线"/>
        <family val="2"/>
        <scheme val="minor"/>
      </rPr>
      <t xml:space="preserve">
</t>
    </r>
    <r>
      <rPr>
        <sz val="9"/>
        <color rgb="FF2F5597"/>
        <rFont val="微软雅黑"/>
        <family val="2"/>
        <charset val="134"/>
      </rPr>
      <t>3.1：工艺管理模块；3.2：物料管理模块；</t>
    </r>
    <r>
      <rPr>
        <sz val="9"/>
        <color rgb="FF2F5597"/>
        <rFont val="微软雅黑"/>
        <family val="2"/>
        <charset val="134"/>
      </rPr>
      <t>3.3：能源管理模块；3.4：报警管理模块；</t>
    </r>
    <r>
      <rPr>
        <sz val="9"/>
        <color rgb="FF2F5597"/>
        <rFont val="微软雅黑"/>
        <family val="2"/>
        <charset val="134"/>
      </rPr>
      <t>3.5：生产统计模块；3.6：批次管理模块；</t>
    </r>
  </si>
  <si>
    <r>
      <rPr>
        <sz val="9"/>
        <color rgb="FF2F5597"/>
        <rFont val="微软雅黑"/>
        <family val="2"/>
        <charset val="134"/>
      </rPr>
      <t>2.瑞祥实施：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2.1：工艺管理模块；2.2：物料管理模块；2.3：调度管理模块；2.4：持续改善模块；2.5：操作管理模块；2.6：系统集成接口；</t>
    </r>
    <r>
      <rPr>
        <sz val="11"/>
        <color theme="1"/>
        <rFont val="等线"/>
        <family val="2"/>
        <scheme val="minor"/>
      </rPr>
      <t xml:space="preserve">
</t>
    </r>
    <r>
      <rPr>
        <sz val="9"/>
        <color rgb="FF2F5597"/>
        <rFont val="微软雅黑"/>
        <family val="2"/>
        <charset val="134"/>
      </rPr>
      <t>3.瑞泰实施：</t>
    </r>
    <r>
      <rPr>
        <sz val="11"/>
        <color theme="1"/>
        <rFont val="等线"/>
        <family val="2"/>
        <scheme val="minor"/>
      </rPr>
      <t xml:space="preserve">
</t>
    </r>
    <r>
      <rPr>
        <sz val="9"/>
        <color rgb="FF2F5597"/>
        <rFont val="微软雅黑"/>
        <family val="2"/>
        <charset val="134"/>
      </rPr>
      <t>3.1：工艺管理模块；3.2：物料管理模块；3.3：能源管理模块；3.4：报警管理模块；3.5：生产统计模块；3.6：批次管理模块；</t>
    </r>
    <r>
      <rPr>
        <sz val="11"/>
        <color theme="1"/>
        <rFont val="等线"/>
        <family val="2"/>
        <scheme val="minor"/>
      </rPr>
      <t xml:space="preserve">
</t>
    </r>
    <r>
      <rPr>
        <sz val="9"/>
        <color rgb="FF2F5597"/>
        <rFont val="微软雅黑"/>
        <family val="2"/>
        <charset val="134"/>
      </rPr>
      <t>*一体化经营平台发现的主数据与SAP有不一致的问题；SAP对接报工的问题；</t>
    </r>
  </si>
  <si>
    <r>
      <rPr>
        <sz val="9"/>
        <color rgb="FF2F5597"/>
        <rFont val="微软雅黑"/>
        <family val="2"/>
        <charset val="134"/>
      </rPr>
      <t>1.瑞祥实施：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1.1：工艺管理模块；1.2：物料管理模块；1.3：调度管理模块；1.4：持续改善模块；1.5：操作管理模块；1.6：系统集成接口；</t>
    </r>
    <r>
      <rPr>
        <sz val="11"/>
        <color theme="1"/>
        <rFont val="等线"/>
        <family val="2"/>
        <scheme val="minor"/>
      </rPr>
      <t xml:space="preserve">
</t>
    </r>
    <r>
      <rPr>
        <sz val="9"/>
        <color rgb="FF2F5597"/>
        <rFont val="微软雅黑"/>
        <family val="2"/>
        <charset val="134"/>
      </rPr>
      <t>2.瑞泰实施：</t>
    </r>
    <r>
      <rPr>
        <sz val="11"/>
        <color theme="1"/>
        <rFont val="等线"/>
        <family val="2"/>
        <scheme val="minor"/>
      </rPr>
      <t xml:space="preserve">
</t>
    </r>
    <r>
      <rPr>
        <sz val="9"/>
        <color rgb="FF2F5597"/>
        <rFont val="微软雅黑"/>
        <family val="2"/>
        <charset val="134"/>
      </rPr>
      <t>2.1：工艺管理模块；2.2：物料管理模块；2.3：能源管理模块；2.4：报警管理模块；2.5：生产统计模块；2.6：批次管理模块；</t>
    </r>
    <r>
      <rPr>
        <sz val="11"/>
        <color theme="1"/>
        <rFont val="等线"/>
        <family val="2"/>
        <scheme val="minor"/>
      </rPr>
      <t xml:space="preserve">
</t>
    </r>
  </si>
  <si>
    <r>
      <rPr>
        <sz val="9"/>
        <color rgb="FF2F5597"/>
        <rFont val="微软雅黑"/>
        <family val="2"/>
        <charset val="134"/>
      </rPr>
      <t>1.瑞祥实施：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1.1：工艺管理模块；1.2：物料管理模块；1.3：调度管理模块；1.4：持续改善模块；1.5：操作管理模块；1.6：生产统计模块；1.7：生产计划模块；1.8：系统集成接口；</t>
    </r>
    <r>
      <rPr>
        <sz val="11"/>
        <color theme="1"/>
        <rFont val="等线"/>
        <family val="2"/>
        <scheme val="minor"/>
      </rPr>
      <t xml:space="preserve">
</t>
    </r>
    <r>
      <rPr>
        <sz val="9"/>
        <color rgb="FF2F5597"/>
        <rFont val="微软雅黑"/>
        <family val="2"/>
        <charset val="134"/>
      </rPr>
      <t>2.瑞泰实施：</t>
    </r>
    <r>
      <rPr>
        <sz val="11"/>
        <color theme="1"/>
        <rFont val="等线"/>
        <family val="2"/>
        <scheme val="minor"/>
      </rPr>
      <t xml:space="preserve">
</t>
    </r>
    <r>
      <rPr>
        <sz val="9"/>
        <color rgb="FF2F5597"/>
        <rFont val="微软雅黑"/>
        <family val="2"/>
        <charset val="134"/>
      </rPr>
      <t>2.1：工艺管理模块；2.2：物料管理模块；2.3：调度管理模块；2.4：持续改善模块；2.5：操作管理模块；2.6：生产统计模块；2.7：生产计划模块；2.8：系统集成接口；2.9：能源管理模块；</t>
    </r>
    <r>
      <rPr>
        <sz val="11"/>
        <color theme="1"/>
        <rFont val="等线"/>
        <family val="2"/>
        <scheme val="minor"/>
      </rPr>
      <t xml:space="preserve">
</t>
    </r>
    <r>
      <rPr>
        <sz val="9"/>
        <color rgb="FF2F5597"/>
        <rFont val="微软雅黑"/>
        <family val="2"/>
        <charset val="134"/>
      </rPr>
      <t>2.10：报警管理模块；2.11：批次管理模块；</t>
    </r>
    <r>
      <rPr>
        <sz val="11"/>
        <color theme="1"/>
        <rFont val="等线"/>
        <family val="2"/>
        <scheme val="minor"/>
      </rPr>
      <t xml:space="preserve">
*SAP接口主数据、BOM、计划部分正在协调是否可以提前开展，报工部分正在调研三家工厂方案是否一致；
</t>
    </r>
  </si>
  <si>
    <r>
      <rPr>
        <sz val="9"/>
        <color rgb="FF2F5597"/>
        <rFont val="微软雅黑"/>
        <family val="2"/>
        <charset val="134"/>
      </rPr>
      <t>1.瑞祥实施：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1.1：工艺管理模块；1.2：物料管理模块；1.3：调度管理模块；1.4：持续改善模块；1.5：操作管理模块；1.6：生产统计模块；1.7：生产计划模块；1.8：系统集成接口；</t>
    </r>
    <r>
      <rPr>
        <sz val="11"/>
        <color theme="1"/>
        <rFont val="等线"/>
        <family val="2"/>
        <scheme val="minor"/>
      </rPr>
      <t xml:space="preserve">
</t>
    </r>
    <r>
      <rPr>
        <sz val="9"/>
        <color rgb="FF2F5597"/>
        <rFont val="微软雅黑"/>
        <family val="2"/>
        <charset val="134"/>
      </rPr>
      <t>2.瑞泰实施：</t>
    </r>
    <r>
      <rPr>
        <sz val="11"/>
        <color theme="1"/>
        <rFont val="等线"/>
        <family val="2"/>
        <scheme val="minor"/>
      </rPr>
      <t xml:space="preserve">
</t>
    </r>
    <r>
      <rPr>
        <sz val="9"/>
        <color rgb="FF2F5597"/>
        <rFont val="微软雅黑"/>
        <family val="2"/>
        <charset val="134"/>
      </rPr>
      <t>2.1：工艺管理模块；2.2：物料管理模块；2.3：调度管理模块；2.4：持续改善模块；2.5：操作管理模块；2.6：生产统计模块；2.7：生产计划模块；2.8：系统集成接口；2.9：能源管理模块；</t>
    </r>
    <r>
      <rPr>
        <sz val="11"/>
        <color theme="1"/>
        <rFont val="等线"/>
        <family val="2"/>
        <scheme val="minor"/>
      </rPr>
      <t xml:space="preserve">
</t>
    </r>
    <r>
      <rPr>
        <sz val="9"/>
        <color rgb="FF2F5597"/>
        <rFont val="微软雅黑"/>
        <family val="2"/>
        <charset val="134"/>
      </rPr>
      <t>2.10：报警管理模块；2.11：批次管理模块；</t>
    </r>
    <r>
      <rPr>
        <sz val="11"/>
        <color theme="1"/>
        <rFont val="等线"/>
        <family val="2"/>
        <scheme val="minor"/>
      </rPr>
      <t xml:space="preserve">
*SAP接口主数据、BOM、计划接口希望本周调试完成；两个工厂的数据核对工作尚处于进行中，瑞祥部分领导人员变动，工作进展未达预期；
</t>
    </r>
  </si>
  <si>
    <r>
      <rPr>
        <sz val="9"/>
        <color rgb="FF2F5597"/>
        <rFont val="微软雅黑"/>
        <family val="2"/>
        <charset val="134"/>
      </rPr>
      <t>1.瑞祥实施：</t>
    </r>
    <r>
      <rPr>
        <sz val="11"/>
        <color theme="1"/>
        <rFont val="等线"/>
        <family val="2"/>
        <scheme val="minor"/>
      </rPr>
      <t xml:space="preserve">
</t>
    </r>
    <r>
      <rPr>
        <sz val="9"/>
        <color rgb="FF2F5597"/>
        <rFont val="微软雅黑"/>
        <family val="2"/>
        <charset val="134"/>
      </rPr>
      <t>基础设施：网络安全检查的问题整改。</t>
    </r>
    <r>
      <rPr>
        <sz val="11"/>
        <color theme="1"/>
        <rFont val="等线"/>
        <family val="2"/>
        <scheme val="minor"/>
      </rPr>
      <t xml:space="preserve">
</t>
    </r>
    <r>
      <rPr>
        <sz val="9"/>
        <color rgb="FF2F5597"/>
        <rFont val="微软雅黑"/>
        <family val="2"/>
        <charset val="134"/>
      </rPr>
      <t>1.1：工艺管理模块；1.2：物料管理模块；1.3：调度管理模块；1.4：持续改善模块；1.5：操作管理模块；1.6：生产统计模块；1.7：生产计划模块；1.8：系统集成接口；</t>
    </r>
    <r>
      <rPr>
        <sz val="11"/>
        <color theme="1"/>
        <rFont val="等线"/>
        <family val="2"/>
        <scheme val="minor"/>
      </rPr>
      <t xml:space="preserve">
</t>
    </r>
    <r>
      <rPr>
        <sz val="9"/>
        <color rgb="FF2F5597"/>
        <rFont val="微软雅黑"/>
        <family val="2"/>
        <charset val="134"/>
      </rPr>
      <t>2.瑞泰实施：</t>
    </r>
    <r>
      <rPr>
        <sz val="11"/>
        <color theme="1"/>
        <rFont val="等线"/>
        <family val="2"/>
        <scheme val="minor"/>
      </rPr>
      <t xml:space="preserve">
</t>
    </r>
    <r>
      <rPr>
        <sz val="9"/>
        <color rgb="FF2F5597"/>
        <rFont val="微软雅黑"/>
        <family val="2"/>
        <charset val="134"/>
      </rPr>
      <t>2.1：工艺管理模块；2.2：物料管理模块；2.3：调度管理模块；2.4：持续改善模块；2.5：操作管理模块；2.6：生产统计模块；2.7：生产计划模块；2.8：系统集成接口；2.9：能源管理模块；</t>
    </r>
    <r>
      <rPr>
        <sz val="11"/>
        <color theme="1"/>
        <rFont val="等线"/>
        <family val="2"/>
        <scheme val="minor"/>
      </rPr>
      <t xml:space="preserve">
</t>
    </r>
    <r>
      <rPr>
        <sz val="9"/>
        <color rgb="FF2F5597"/>
        <rFont val="微软雅黑"/>
        <family val="2"/>
        <charset val="134"/>
      </rPr>
      <t>2.10：报警管理模块；2.11：批次管理模块；</t>
    </r>
    <r>
      <rPr>
        <sz val="11"/>
        <color theme="1"/>
        <rFont val="等线"/>
        <family val="2"/>
        <scheme val="minor"/>
      </rPr>
      <t xml:space="preserve">
</t>
    </r>
    <r>
      <rPr>
        <sz val="9"/>
        <color rgb="FF2F5597"/>
        <rFont val="微软雅黑"/>
        <family val="2"/>
        <charset val="134"/>
      </rPr>
      <t>*计划召开上线动员会；SAP接口工作实施进行中，报工调试完成后计划瑞恒上线切换；瑞泰产存销报表需求讨论；</t>
    </r>
    <r>
      <rPr>
        <sz val="11"/>
        <color theme="1"/>
        <rFont val="等线"/>
        <family val="2"/>
        <scheme val="minor"/>
      </rPr>
      <t xml:space="preserve">
</t>
    </r>
  </si>
  <si>
    <r>
      <rPr>
        <sz val="9"/>
        <color rgb="FF2F5597"/>
        <rFont val="微软雅黑"/>
        <family val="2"/>
        <charset val="134"/>
      </rPr>
      <t>1.瑞祥实施：计划10.10启动试运行；</t>
    </r>
    <r>
      <rPr>
        <sz val="11"/>
        <color theme="1"/>
        <rFont val="等线"/>
        <family val="2"/>
        <scheme val="minor"/>
      </rPr>
      <t xml:space="preserve">
</t>
    </r>
    <r>
      <rPr>
        <sz val="9"/>
        <color rgb="FF2F5597"/>
        <rFont val="微软雅黑"/>
        <family val="2"/>
        <charset val="134"/>
      </rPr>
      <t>2.瑞泰实施：计划10.15启动试运行；</t>
    </r>
    <r>
      <rPr>
        <sz val="11"/>
        <color theme="1"/>
        <rFont val="等线"/>
        <family val="2"/>
        <scheme val="minor"/>
      </rPr>
      <t xml:space="preserve">
</t>
    </r>
    <r>
      <rPr>
        <sz val="9"/>
        <color rgb="FF2F5597"/>
        <rFont val="微软雅黑"/>
        <family val="2"/>
        <charset val="134"/>
      </rPr>
      <t>接口集成应用开发与上线；</t>
    </r>
    <r>
      <rPr>
        <sz val="11"/>
        <color theme="1"/>
        <rFont val="等线"/>
        <family val="2"/>
        <scheme val="minor"/>
      </rPr>
      <t xml:space="preserve">
</t>
    </r>
  </si>
  <si>
    <t>1.瑞祥瑞泰上线试运行；
2.与SAP接口主数据、BOM、工单试运行，报工系统功能完善；
3.主数据不一致问题讨论；
4.瑞泰部分新需求评估</t>
  </si>
  <si>
    <t>1.瑞祥瑞泰上线试运行；
2.主数据不一致问题跟进；
3.瑞泰存销数据WMS取数估算；
4.瑞泰一卡通修正数据回传MES估算；
5.瑞泰仪表异常新需求推进；</t>
  </si>
  <si>
    <t>1.瑞祥瑞泰上线试运行；
2.瑞恒主数据不一致问题处理及报工临时方案探讨；
3.瑞泰存销数据WMS取数，预计11月初商务确定后开展；
4.瑞泰一卡通修正数据回传MES，预计11月初开始调试；
5.瑞泰仪表异常需求梳理和讨论；
6.瑞泰报工功能启用（主数据不一致的情况梳理）；
7.瑞祥绿色工厂审核对于能碳模块的需求；
8.MES的工厂运维体系讨论（包含河北、圣奥）；</t>
  </si>
  <si>
    <t>1.瑞祥瑞泰上线试运行；
2.瑞泰存销数据WMS取数，预计11月初商务确定后开展；
3.瑞泰一卡通修正数据回传MES，预计11月初开始调试；
4.瑞祥绿色工厂审核对于能碳模块的需求；</t>
  </si>
  <si>
    <t>1.瑞祥瑞泰上线试运行；
2.瑞泰存销数据WMS取数，预计11月初商务确定后开展；
3.瑞泰一卡通修正数据回传MES，预计11月初开始调试；</t>
  </si>
  <si>
    <t>1.瑞祥瑞泰上线试运行，问题跟踪和修复；
2.瑞泰存销数据WMS取数，预计11月初商务确定后开展；
3.三家工厂的报工集成WMS/SAP调试；</t>
  </si>
  <si>
    <t>1、召开MES月度总结例会
2、完成实施数据库的测试安装、接口组态和点表导入
3、报警模块：完成AE接口测试和报警管理系统展示
4、能源模块：能源数据及报表样式收集（进行中）</t>
  </si>
  <si>
    <t>1 、完成硬件和网络 网闸、防火墙调试
2、完成系统部署（生产管理平台、能源管理）
3、报警管理M&amp;R组态（进行中）
4、能源管理数据和表样收集；能源流程图绘制；API接口开发（进行中）</t>
  </si>
  <si>
    <t>1、已完成报警管理M&amp;R组态
2、完成能源流程图绘制发布
3、和远API接口开发，进行中，完成80%
4、电力数据同步增补PHD采集并验证（完成PHD电力接口组态，差数据验证，及办公用电
）
5、完成能碳平台工厂建模，包括组织架构，资产，班组轮转，统计周期、物料编码、BOM
6、完成全厂能源计量，计量点位号收集，并同步增补PHD采集
7、完成能源计量点维护、能源统计模型搭建</t>
  </si>
  <si>
    <t xml:space="preserve">完成：
1、报警管理：_x000D_全厂报警事件采集并交付_x000D_报警数据统计报表开发交付_x000D_报警处置录入开发交付_x000D_报警屏蔽开发并交付
_x000D_2、PHD实时数据库实施：_x000D_网闸安装部署调试交付；_x000D_全厂实时数据采集交付_x000D_和远电力系统接口数据采集交付_x000D_全厂能源流程图点位组态交付
_x000D_3、能碳管理_x000D_和远电力系统接口开发交付；_x000D_生产运营管理平台部署调试使用交付_x000D_能源计划模型建模交付_x000D_能源监控流程图交付_x000D_能源统计模型建模交付（能流点、平衡、分摊、单耗/能耗/碳排）_x000D_
问题：
1、合成盐酸装置报警数据无法采集，需中控尽快解决。DCS为和利时的HC合成装置需购买AE授权并明确时间节点_x000D_2、化蒸装置阀门、ERR 报警 DCS 系统已屏蔽，但MES 依然存在。
</t>
  </si>
  <si>
    <t>1、月度汇报：12月月度汇报
2、现场机房验收
3、详细设计讨论签署
4、能源/报警/PHD；用户手册编写交付
5、能源管理；用户使用培训 ； 热电排放能耗与碳排放表开发
6、报警管理；报警数据与DCS数据一致性验证
开展建议方案审核
编制需求说明书_x000D_
---------------------------------------------
1.6-1.10总结：
1、权限管理 车间角色收集组态 进行中_x000D_2、权限管理 用户信息组态用户角色 进行中_x000D_3、数据收集 能源统计报表收集 已完成_x000D_4、报警管理 报警数据与DCS数据一致性验证 已完成_x000D_
1.13-1.20
1、报警管理审计数据配置
2、能碳管理报表开发及数据验证</t>
  </si>
  <si>
    <t>1、报警管理审计数据配置
2、能碳管理报表开发及数据验证</t>
  </si>
  <si>
    <t>1、瑞祥MES工艺报警优化；能源管理试运行
2、瑞泰MES立项材料与瑞泰业务部门进行会议确认并整理初版</t>
  </si>
  <si>
    <t>瑞祥：
1、工艺报警试运行优化；2、能源管理试运行
瑞泰：
1、事业部立项材料提交预审</t>
  </si>
  <si>
    <t xml:space="preserve">瑞祥：
1、工艺报警、能源管理试运行中。
瑞泰：
1、立项材料预审后修正及汇报，
2、组织用户进行单一来源评审准备；
</t>
  </si>
  <si>
    <t>1、正式提交事业部立项，等待审批；
2、瑞泰2023年MES立项材料中实施计划和功能跟现有立项内容差异性较大不适合作为事业部MES立项补充材料，待讨论。</t>
  </si>
  <si>
    <t>1.瑞泰2023年立项材料将于3.17日重新上会讨论，待会议决议结果作为事业部立项材料附件提交；事业部立项材料已经修正完成（硬件费用不在霍尼框架内，总金额不变）</t>
  </si>
  <si>
    <t>1.完成瑞泰总经办会议纪要签字盖章；
2.完成事业部立项提交，审批结束；
3.完成采购文件编制、讨论和确认，完成单一来源采购评审专家的确定和签字，发起采购流程审批，开始公示；</t>
  </si>
  <si>
    <t>1.完成公示3天，向供应商发出邀约；
2.完成讨论确定谈判时间（4.2 9:30)，地点：瑞泰工厂，谈判人员5位领导：关总，马总，王晖（公司副总），沈志勇（生产运营副总）、常旭升（能源主管），现场对接人员常旭升；已通知瑞泰发出正式邮件邀请谈判人员；
3.完成编制《单一来源采购纪要》初稿编制，内容按谈判最终结果现场更新；
4.完成编制《项目成交通知书》初稿编制，内容按谈判最终结果现场更新；</t>
  </si>
  <si>
    <t>1.完成商务谈判，控制在立项金额以内；
2.完成报价澄清函的盖章；正在进行谈判结果纪要签字；
3.组织收集启动会人员名单和会议议程等工作；</t>
  </si>
  <si>
    <t>1.完成项目启动会的准备和召开；
2.瑞泰OPC AE授权和DA授权情况梳理；
3.MES云端服务器租赁扩容需求梳理，已经提交基础设施组准备；
4.本地采集服务器现场调研及软件采购工作梳理；
5.完成瑞恒MES功能模块演示，并对批次管理需求调研；</t>
  </si>
  <si>
    <t>1.需求调研：完成了18个模块的需求调研活动；
2.项目管理：完成确定了瑞祥的项目主要成员；完成调研详细计划编制；
3.OPC授权：完成了瑞泰现场测试调研，梳理采购要求；
4.云服务器：正在进行云服务扩容的申请；
5.软硬件：正在进行和霍尼的商务合同签署；
6.OPC服务器硬件：识别MES向外提供采集服务的服务器，协调企业购置；</t>
  </si>
  <si>
    <t>1.需求调研：各模块基础数据收集和现状表单收集（进行中）；工艺流程图收集（完成）；业务流程图绘制（进行中）；需求说明书编制（进行中）；
2.网络架构：完成网络架构梳理（瑞恒、瑞祥、瑞泰）；
3.OPC授权：正在采购进行中；
4.云服务器：正在进行云服务器扩容准备中；
5.软硬件：完成和霍尼的商务合同及软硬件采购；</t>
  </si>
  <si>
    <t>1.需求调研：模块基础数据收集，瑞祥已经完成，瑞泰完成90%；
业务流程梳理绘制进行中，收集DCS流程图、位号瑞泰完成70%；
2.需求文档：瑞祥完成90%，瑞泰完成70%；
3.OPC授权采购：已经发起采购申请；
3.MES云服务器扩容：完成扩容，正在准备软件安装；
4.瑞泰现场软硬件：受制于首付款，目前尚在采购中，预计下周发货；
5.MES标准产品培训：完成报警管理、PHD、UI流程图绘制、OM&amp;OL培训；</t>
  </si>
  <si>
    <t>1.需求调研：瑞祥瑞泰模块基础数据收集完成；瑞祥需求说明书编制完成，瑞泰完成90%；瑞泰DCS流程、位号收集完成；
2.MES云服务器扩容完成，软件部署调试完成；
3.OPC授权采购进行中：瑞祥进度50%，瑞泰进度40%；
4.瑞泰现场软硬件：到货完成；
5.接口业务讨论：瑞祥LIMS,一卡通完成内部业务讨论；瑞泰LIMS,WMS,SAP完成业务讨论，并完成与SAP、WMS厂商的接口需求讨论；
6.瑞泰网络拓扑已经梳理优化完成；</t>
  </si>
  <si>
    <t>1.蓝图设计：瑞祥完成各模块关键用户讨论；瑞泰完成批次管理模块调研，蓝图设计进行中；
2.基础设施：瑞祥OPC服务器到货（厂商发错配置，需要更换）；瑞泰采集服务器部署完成了，正在开始采集数据（已完成5套DCS采集，一共21套）；瑞泰完成访问MES权限开通，UI编制进行中；瑞泰的网络拓扑已经完成梳理，需要基设网安组与瑞泰本地联合推进网络架构优化；
3.基础数据：瑞泰DCS数据收集50%，正在核对数据质量；
5.系统集成：瑞祥完成LIMS、一卡通与厂商接口业务需求讨论；瑞泰完成SAP、LIMS等接口初步部署，后续讨论集成业务场景以及与厂商讨论最终技术方案；与总部经营分析对接的讨论已经和薛阳怀超讨论完成并开通了视图；</t>
  </si>
  <si>
    <t>1.蓝图设计：完成修正业务流程图绘制；完成功能设计文档更新；
2.基础设施：瑞祥正在调换PHD OPC服务器；OPC 授权采购进行中，预计6月底完成；
3.系统集成：瑞泰MES与LIMS的业务讨论；
4.功能实施：瑞祥工艺流程图完成62/307；瑞泰报警事件采集6/21，PHD数据采集导入8000点，工艺流程图完成6张；</t>
  </si>
  <si>
    <t xml:space="preserve">1.蓝图设计：完成瑞祥设计文档预评审，瑞泰项目组同时参加；瑞祥接口方案预评审；（产生约98个事项）
2.基础设施：瑞祥PHD OPC服务器部署和配置、调试测试；瑞泰网络迁移完成测试，OPC DA&amp;AE 采购进中；
3.瑞祥实施：工艺流程图绘制完成151/283；完成了工艺技控点建模；
4.瑞泰实施：工艺流程图绘制完成7/299；物料计量点组态完成2/44；能源计量点组态完成1/44；报警事件采集完成9/21；DCS数据采集11/21，共9000点；
</t>
  </si>
  <si>
    <t xml:space="preserve">1.蓝图设计：（98个）瑞祥设计文档修改更新进行中；瑞泰批次管理预评审（产生9个事项）；
2.基础设施：瑞祥瑞泰完成了登录域名的改造；瑞祥PHD OPC服务器调试进行中；瑞泰网络迁移改造进行中，PKS采集可靠性验证进行中，OPC DA&amp;AE 采购进中；
3.瑞祥实施：工艺流程图绘制完成220/343张；工艺技控点建模完成2/4车间；新增两套新装置的工艺技控点、报警日志、PHD点位、操作记录完成组态；
4.瑞泰实施：工艺流程图绘制完成10/299张；物料计量点组态完成2/45装置；能源计量点组态完成2/45装置；报警事件采集完成9/21装置；DCS数据采集12/21装置，共9950点；操作管理技控组态完成3/17工段
</t>
  </si>
  <si>
    <t xml:space="preserve">1.蓝图设计：详细设计文档内容补充和修正完成；
2.基础设施：瑞祥PHD OPC服务器；瑞泰网络迁移改造进行中，PKS采集可靠性验证进行中，OPC DA&amp;AE 采购进中；
3.瑞祥实施：工艺流程图绘制完成235/347张；工艺技控点组态完成3/4车间；
4.瑞泰实施：工艺流程图绘制完成11/299张（优先级降低）；物料计量点组态完成17/43装置；装置储罐计量8/44；能源计量点组态完成9/44装置；报警事件采集完成9/21装置；DCS数据采集12/21装置，共9950点；操作管理技控组态完成10/17工段；
</t>
  </si>
  <si>
    <t xml:space="preserve">1.蓝图设计：完成蓝图评审汇报并通过；
2.基础设施：瑞祥PHD OPC服务器完成部署测试；瑞泰网络迁移改造进行中（尼龙66、湿氧采集可靠性问题查找、氯代酯网络不通的调试），OPC DA&amp;AE 采购进中；
3.瑞祥实施：工艺流程图绘制完成237/347张；工艺技控点组态完成4/4车间；操作合格率，连锁率、自控率报表完成开发；
4.瑞泰实施：工艺流程图绘制完成21/300张；受制于网络迁移改造，物料计量点组态完成17/43装置（后续按工段合并数计）；装置储罐计量17/43；报警事件采集完成9/21装置；DCS数据采集12/21装置，共9950点；操作管理技控组态完成10/17工段；能源计量点组态完成44/44装置；
</t>
  </si>
  <si>
    <t xml:space="preserve">1.蓝图设计：正在签字；
2.基础设施：完成了OPC DA&amp;AE授权采购和安装部署（中化信息代采的两套进行中）；完成了瑞泰现场网络改造及10套中控系统的采集线路切换，调试识别了尼龙、湿氧、氯代酯、制氢2期的DCS采集异常问题，正在处理；清云平台数据采集系统切换正在按装置逐步切换；
3.瑞祥实施：工艺流程图绘制完成262/347张；报警管理模块：完成报警屏蔽记录、报警优先级统计报表开发；物料管理模块：完成仓储罐区储罐组态和外租库组态；调度管理模块：完成交接班日志模板开发；
4.瑞泰实施：工艺管理模块：完成UI流程图绘制21/300+；物料管理模块：完成仪表计量组态17/43装置；装置储罐计量17/43装置；投入产出计算1/7车间；能源管理模块：完成所有能源计量点组态，正在核实数据准确性；报警管理模块：完成报警事件采集9/21装置；DCS数据采集：完成12/21装置；操作管理模块：完成技控指标组态9/17工段；
</t>
  </si>
  <si>
    <t>1.蓝图设计：正在签字，计划本周签完；
2.基础设施（瑞泰）：完成了OPC AE授权采购，正在安装部署（和利时的两套进行中，目前由扬农集团代采）；由于现场检查，尼龙、湿氧、氯代酯、制氢2期的DCS采集异常问题延迟到本周调试；清云平台数据采集系统切换已经完成，正在处理报警值的配置；
3.瑞祥实施：
3.1：工艺管理模块：进行中，完成新增5张，工艺流程图绘制完成267/347张；
3.2：物料管理模块：进行中，完成环氧氯丙烷的装置计量和仪表组态；
3.3：调度管理模块：进行中，完成调度模板流程组态，原始记录组态进行中；
3.4：操作管理模块：进行中，完成了指标启停和上下限调整指令模块流程组态，优化了合格率报表；
4.瑞泰实施：
4.1：工艺管理模块：进行中，完成UI流程图绘制51/300+；
4.2：物料管理模块：进行中，完成仪表计量组态32/44装置；装置储罐计量44/44装置；
4.3：能源管理模块：完成水、蒸汽等能源介质数据准确性核对；
4.4：报警管理模块：进行中，完成报警事件采集9/21装置；DCS数据采集：完成12/21装置；
4.5：操作管理模块：进行中，完成技控指标组态10/17工段；
1、进行系统功能监护运行；
2、提交上线安全检查材料；</t>
  </si>
  <si>
    <t>1.蓝图设计：瑞祥瑞泰均完成签字；
2.基础设施（瑞泰）：正在安装部署两套霍尼OPC AE，和利时的两套采购到货，正在走收货领用流程；完成尼龙、氯代酯、制氢2期的DCS采集，湿氧待下次停车时，修改OPC服务账号密码以完成采集；
3.瑞祥实施：
3.1：工艺管理模块：工艺流程图绘制完成氯碱165/220，其他车间均完成；
3.2：物料管理模块：进行中，完成7个工段仪表/储罐物料采集组态；
3.3：调度管理模块：进行中，完成调度原始记录采集组态，开始数据核对；
3.4：操作管理模块：由于用户未提供指标清单，调整到8月中旬开展；
3.5：系统集成接口：与物流一卡通系统接口开发和联调完成，等待正式部署；与LIMS接口开发进行中；
4.瑞泰实施：
4.1：工艺管理模块：进行中，完成UI流程图绘制80/300+；操作记录点收集完成5/15工段；
4.2：物料管理模块：进行中，完成物料投入产出组态17/35装置，并完成了一次用户培训；
4.3：能源管理模块：完成氧气、天然气能源介质数据准确性核对；
4.4：报警管理模块：进行中，完成尼龙聚合、吡虫啉装置报警事件采集15/21装置；
4.5：生产统计模块：工段日报表的开发，完成14/15工段；
4.6：系统集成接口：与物流一卡通系统接口开发和联调完成，等待正式部署；与LIMS接口开发进行中；
1、进行系统功能监护运行；
2、提交上线安全检查材料；</t>
  </si>
  <si>
    <t>1.基础设施（瑞泰）：完成安装部署两套霍尼OPC AE，和利时的两套待和利时工程师现场实施；湿氧待下次停车修改OPC服务账号密码以完成采集；
2.瑞祥实施：
2.1：工艺管理模块：工艺流程图绘制完成氯碱185/220，其他车间均完成；
2.2：物料管理模块：进行中，完成盐液、二氯苯两个工段的产出模型组态，完成管输互供模型组态；
2.3：调度管理模块：进行中，数据核对；
2.4：持续改善模块：进行中，完成走动管理模块部署，月度报表，人员配置；T会安全内容配置；
2.5：系统集成接口：与物流一卡通系统接口正式部署；与HSE页面集成开发进行中；
3.瑞泰实施：
3.1：工艺管理模块：进行中，完成UI流程图绘制88/300+；操作记录点收集完成9/15工段；
3.2：物料管理模块：进行中，完成物料投入产出组态23/35装置；完成储罐配置；储罐计量优化；
3.3：能源管理模块：完成水数据准确性核对；
3.4：报警管理模块：进行中，等待和利时两套装置；
3.5：生产统计模块：工段日报表的开发，完成15/15工段；
3.6：批次管理模块：进行中，完成工单、基础数据、生产执行配置：</t>
  </si>
  <si>
    <r>
      <rPr>
        <sz val="9"/>
        <color rgb="FF000000"/>
        <rFont val="微软雅黑"/>
        <family val="2"/>
        <charset val="134"/>
      </rPr>
      <t>1.基础设施（瑞泰）：完成和利时的两套数据采集；湿氧计划8月中下旬停车，还是采取更改账号密码的方式完成数据采集；</t>
    </r>
    <r>
      <rPr>
        <sz val="11"/>
        <color theme="1"/>
        <rFont val="等线"/>
        <family val="2"/>
        <scheme val="minor"/>
      </rPr>
      <t xml:space="preserve">
</t>
    </r>
    <r>
      <rPr>
        <sz val="9"/>
        <color rgb="FF000000"/>
        <rFont val="微软雅黑"/>
        <family val="2"/>
        <charset val="134"/>
      </rPr>
      <t>2.瑞祥实施：</t>
    </r>
    <r>
      <rPr>
        <sz val="11"/>
        <color theme="1"/>
        <rFont val="等线"/>
        <family val="2"/>
        <scheme val="minor"/>
      </rPr>
      <t xml:space="preserve">
</t>
    </r>
    <r>
      <rPr>
        <sz val="9"/>
        <color rgb="FF000000"/>
        <rFont val="微软雅黑"/>
        <family val="2"/>
        <charset val="134"/>
      </rPr>
      <t>2.1：工艺管理模块：工艺流程图绘制全部完成；工艺平稳率均方差平稳率开发部署完成；合格率、连锁/自控率上线试运行；</t>
    </r>
    <r>
      <rPr>
        <sz val="11"/>
        <color theme="1"/>
        <rFont val="等线"/>
        <family val="2"/>
        <scheme val="minor"/>
      </rPr>
      <t xml:space="preserve">
</t>
    </r>
    <r>
      <rPr>
        <sz val="9"/>
        <color rgb="FF000000"/>
        <rFont val="微软雅黑"/>
        <family val="2"/>
        <charset val="134"/>
      </rPr>
      <t>2.2：物料管理模块：进行中，完成氯化苯、化盐两个工段的产出模型组态；</t>
    </r>
    <r>
      <rPr>
        <sz val="11"/>
        <color theme="1"/>
        <rFont val="等线"/>
        <family val="2"/>
        <scheme val="minor"/>
      </rPr>
      <t xml:space="preserve">
</t>
    </r>
    <r>
      <rPr>
        <sz val="9"/>
        <color rgb="FF000000"/>
        <rFont val="微软雅黑"/>
        <family val="2"/>
        <charset val="134"/>
      </rPr>
      <t>2.3：调度管理模块：进行中，调度流程图绘制延期至8月8日；</t>
    </r>
    <r>
      <rPr>
        <sz val="11"/>
        <color theme="1"/>
        <rFont val="等线"/>
        <family val="2"/>
        <scheme val="minor"/>
      </rPr>
      <t xml:space="preserve">
</t>
    </r>
    <r>
      <rPr>
        <sz val="9"/>
        <color rgb="FF000000"/>
        <rFont val="微软雅黑"/>
        <family val="2"/>
        <charset val="134"/>
      </rPr>
      <t>2.4：持续改善模块：进行中，完成LSW模块部署；进行RPS报告开发；完成氯碱、有机车间T会配置；</t>
    </r>
    <r>
      <rPr>
        <sz val="11"/>
        <color theme="1"/>
        <rFont val="等线"/>
        <family val="2"/>
        <scheme val="minor"/>
      </rPr>
      <t xml:space="preserve">
</t>
    </r>
    <r>
      <rPr>
        <sz val="9"/>
        <color rgb="FF000000"/>
        <rFont val="微软雅黑"/>
        <family val="2"/>
        <charset val="134"/>
      </rPr>
      <t>2.5：操作管理模块：进行中，操作指标监控，操作小时台账正在部署；</t>
    </r>
    <r>
      <rPr>
        <sz val="11"/>
        <color theme="1"/>
        <rFont val="等线"/>
        <family val="2"/>
        <scheme val="minor"/>
      </rPr>
      <t xml:space="preserve">
</t>
    </r>
    <r>
      <rPr>
        <sz val="9"/>
        <color rgb="FF000000"/>
        <rFont val="微软雅黑"/>
        <family val="2"/>
        <charset val="134"/>
      </rPr>
      <t>2.6：系统集成接口：与HSE页面集成开发完成；</t>
    </r>
    <r>
      <rPr>
        <sz val="11"/>
        <color theme="1"/>
        <rFont val="等线"/>
        <family val="2"/>
        <scheme val="minor"/>
      </rPr>
      <t xml:space="preserve">
</t>
    </r>
    <r>
      <rPr>
        <sz val="9"/>
        <color rgb="FF000000"/>
        <rFont val="微软雅黑"/>
        <family val="2"/>
        <charset val="134"/>
      </rPr>
      <t>3.瑞泰实施：</t>
    </r>
    <r>
      <rPr>
        <sz val="11"/>
        <color theme="1"/>
        <rFont val="等线"/>
        <family val="2"/>
        <scheme val="minor"/>
      </rPr>
      <t xml:space="preserve">
</t>
    </r>
    <r>
      <rPr>
        <sz val="9"/>
        <color rgb="FF000000"/>
        <rFont val="微软雅黑"/>
        <family val="2"/>
        <charset val="134"/>
      </rPr>
      <t>3.1：工艺管理模块：进行中，完成UI流程图绘制96/300+；操作记录点收集完成13/17工段；</t>
    </r>
    <r>
      <rPr>
        <sz val="11"/>
        <color theme="1"/>
        <rFont val="等线"/>
        <family val="2"/>
        <scheme val="minor"/>
      </rPr>
      <t xml:space="preserve">
</t>
    </r>
    <r>
      <rPr>
        <sz val="9"/>
        <color rgb="FF000000"/>
        <rFont val="微软雅黑"/>
        <family val="2"/>
        <charset val="134"/>
      </rPr>
      <t>3.2：物料管理模块：进行中，完成物料投入产出组态23/35装置；完成44个装置的储罐配置；</t>
    </r>
    <r>
      <rPr>
        <sz val="11"/>
        <color theme="1"/>
        <rFont val="等线"/>
        <family val="2"/>
        <scheme val="minor"/>
      </rPr>
      <t xml:space="preserve">
</t>
    </r>
    <r>
      <rPr>
        <sz val="9"/>
        <color rgb="FF000000"/>
        <rFont val="微软雅黑"/>
        <family val="2"/>
        <charset val="134"/>
      </rPr>
      <t>3.3：能源管理模块：完成一次水、二次水、氧气数据准确性核对；</t>
    </r>
    <r>
      <rPr>
        <sz val="11"/>
        <color theme="1"/>
        <rFont val="等线"/>
        <family val="2"/>
        <scheme val="minor"/>
      </rPr>
      <t xml:space="preserve">
</t>
    </r>
    <r>
      <rPr>
        <sz val="9"/>
        <color rgb="FF000000"/>
        <rFont val="微软雅黑"/>
        <family val="2"/>
        <charset val="134"/>
      </rPr>
      <t>3.4：报警管理模块：进行中，和利时两套（锅炉、脱硫）装置接口已调通，下周完成配置工作；</t>
    </r>
    <r>
      <rPr>
        <sz val="11"/>
        <color theme="1"/>
        <rFont val="等线"/>
        <family val="2"/>
        <scheme val="minor"/>
      </rPr>
      <t xml:space="preserve">
</t>
    </r>
    <r>
      <rPr>
        <sz val="9"/>
        <color rgb="FF000000"/>
        <rFont val="微软雅黑"/>
        <family val="2"/>
        <charset val="134"/>
      </rPr>
      <t>3.5：生产统计模块：完成配置，进入数据核对阶段；</t>
    </r>
    <r>
      <rPr>
        <sz val="11"/>
        <color theme="1"/>
        <rFont val="等线"/>
        <family val="2"/>
        <scheme val="minor"/>
      </rPr>
      <t xml:space="preserve">
</t>
    </r>
    <r>
      <rPr>
        <sz val="9"/>
        <color rgb="FF000000"/>
        <rFont val="微软雅黑"/>
        <family val="2"/>
        <charset val="134"/>
      </rPr>
      <t>3.6：批次管理模块：进行中；完成批次谱系配置，批次分析模块进行中；</t>
    </r>
  </si>
  <si>
    <r>
      <rPr>
        <sz val="9"/>
        <rFont val="微软雅黑"/>
        <family val="2"/>
        <charset val="134"/>
      </rPr>
      <t>1.瑞祥实施：基础设置整改：问题梳理进行中；</t>
    </r>
    <r>
      <rPr>
        <sz val="11"/>
        <color rgb="FF000000"/>
        <rFont val="等线"/>
        <family val="3"/>
        <charset val="134"/>
      </rPr>
      <t xml:space="preserve">
</t>
    </r>
    <r>
      <rPr>
        <sz val="9"/>
        <color rgb="FF000000"/>
        <rFont val="微软雅黑"/>
        <family val="2"/>
        <charset val="134"/>
      </rPr>
      <t>1.1：工艺管理模块：开发中，工艺流程图、合格率、连锁/自控率/工艺平稳率试运行；工艺变更管理开发延到8月底；</t>
    </r>
    <r>
      <rPr>
        <sz val="11"/>
        <color rgb="FF000000"/>
        <rFont val="等线"/>
        <family val="3"/>
        <charset val="134"/>
      </rPr>
      <t xml:space="preserve">
</t>
    </r>
    <r>
      <rPr>
        <sz val="9"/>
        <color rgb="FF000000"/>
        <rFont val="微软雅黑"/>
        <family val="2"/>
        <charset val="134"/>
      </rPr>
      <t>1.2：物料管理模块：开发中，正在对各工段数据核对（完成二氯苯/废水工段）；</t>
    </r>
    <r>
      <rPr>
        <sz val="11"/>
        <color rgb="FF000000"/>
        <rFont val="等线"/>
        <family val="3"/>
        <charset val="134"/>
      </rPr>
      <t xml:space="preserve">
</t>
    </r>
    <r>
      <rPr>
        <sz val="9"/>
        <color rgb="FF000000"/>
        <rFont val="微软雅黑"/>
        <family val="2"/>
        <charset val="134"/>
      </rPr>
      <t>1.3：调度管理模块：开发中，完成调度报表开发；</t>
    </r>
    <r>
      <rPr>
        <sz val="11"/>
        <color rgb="FF000000"/>
        <rFont val="等线"/>
        <family val="3"/>
        <charset val="134"/>
      </rPr>
      <t xml:space="preserve">
</t>
    </r>
    <r>
      <rPr>
        <sz val="9"/>
        <color rgb="FF000000"/>
        <rFont val="微软雅黑"/>
        <family val="2"/>
        <charset val="134"/>
      </rPr>
      <t>1.4：持续改善模块：开发中，完成RPS报告调试；完成改善功能开发；</t>
    </r>
    <r>
      <rPr>
        <sz val="11"/>
        <color rgb="FF000000"/>
        <rFont val="等线"/>
        <family val="3"/>
        <charset val="134"/>
      </rPr>
      <t xml:space="preserve">
</t>
    </r>
    <r>
      <rPr>
        <sz val="9"/>
        <color rgb="FF000000"/>
        <rFont val="微软雅黑"/>
        <family val="2"/>
        <charset val="134"/>
      </rPr>
      <t>1.5：操作管理模块：试运行；</t>
    </r>
    <r>
      <rPr>
        <sz val="11"/>
        <color rgb="FF000000"/>
        <rFont val="等线"/>
        <family val="3"/>
        <charset val="134"/>
      </rPr>
      <t xml:space="preserve">
</t>
    </r>
    <r>
      <rPr>
        <sz val="9"/>
        <color rgb="FF000000"/>
        <rFont val="微软雅黑"/>
        <family val="2"/>
        <charset val="134"/>
      </rPr>
      <t>1.6：生产统计模块：开发中，完成预算模型搭建和数据维护功能开发；</t>
    </r>
    <r>
      <rPr>
        <sz val="11"/>
        <color rgb="FF000000"/>
        <rFont val="等线"/>
        <family val="3"/>
        <charset val="134"/>
      </rPr>
      <t xml:space="preserve">
</t>
    </r>
    <r>
      <rPr>
        <sz val="9"/>
        <color rgb="FF000000"/>
        <rFont val="微软雅黑"/>
        <family val="2"/>
        <charset val="134"/>
      </rPr>
      <t>1.7：生产计划模块：未开始；</t>
    </r>
    <r>
      <rPr>
        <sz val="11"/>
        <color rgb="FF000000"/>
        <rFont val="等线"/>
        <family val="3"/>
        <charset val="134"/>
      </rPr>
      <t xml:space="preserve">
</t>
    </r>
    <r>
      <rPr>
        <sz val="9"/>
        <color rgb="FF000000"/>
        <rFont val="微软雅黑"/>
        <family val="2"/>
        <charset val="134"/>
      </rPr>
      <t>1.8：系统集成接口：暂停；LIMS的商务进行中，HSE的接口延至8月中下旬；</t>
    </r>
    <r>
      <rPr>
        <sz val="11"/>
        <color rgb="FF000000"/>
        <rFont val="等线"/>
        <family val="3"/>
        <charset val="134"/>
      </rPr>
      <t xml:space="preserve">
</t>
    </r>
    <r>
      <rPr>
        <sz val="9"/>
        <color rgb="FF000000"/>
        <rFont val="微软雅黑"/>
        <family val="2"/>
        <charset val="134"/>
      </rPr>
      <t>2.瑞泰实施：</t>
    </r>
    <r>
      <rPr>
        <sz val="11"/>
        <color rgb="FF000000"/>
        <rFont val="等线"/>
        <family val="3"/>
        <charset val="134"/>
      </rPr>
      <t xml:space="preserve">
</t>
    </r>
    <r>
      <rPr>
        <sz val="9"/>
        <color rgb="FF000000"/>
        <rFont val="微软雅黑"/>
        <family val="2"/>
        <charset val="134"/>
      </rPr>
      <t>2.1：工艺管理模块：开发中，完成UI流程图绘制112/300+；</t>
    </r>
    <r>
      <rPr>
        <sz val="11"/>
        <color rgb="FF000000"/>
        <rFont val="等线"/>
        <family val="3"/>
        <charset val="134"/>
      </rPr>
      <t xml:space="preserve">
</t>
    </r>
    <r>
      <rPr>
        <sz val="9"/>
        <color rgb="FF000000"/>
        <rFont val="微软雅黑"/>
        <family val="2"/>
        <charset val="134"/>
      </rPr>
      <t>2.2：物料管理模块：开发中，完成物料投入产出组态；数据核对进行中；</t>
    </r>
    <r>
      <rPr>
        <sz val="11"/>
        <color rgb="FF000000"/>
        <rFont val="等线"/>
        <family val="3"/>
        <charset val="134"/>
      </rPr>
      <t xml:space="preserve">
</t>
    </r>
    <r>
      <rPr>
        <sz val="9"/>
        <color rgb="FF000000"/>
        <rFont val="微软雅黑"/>
        <family val="2"/>
        <charset val="134"/>
      </rPr>
      <t>2.3：调度管理模块：开发中；数据核对进行中；</t>
    </r>
    <r>
      <rPr>
        <sz val="11"/>
        <color rgb="FF000000"/>
        <rFont val="等线"/>
        <family val="3"/>
        <charset val="134"/>
      </rPr>
      <t xml:space="preserve">
</t>
    </r>
    <r>
      <rPr>
        <sz val="9"/>
        <color rgb="FF000000"/>
        <rFont val="微软雅黑"/>
        <family val="2"/>
        <charset val="134"/>
      </rPr>
      <t>2.4：持续改善模块：未开始；</t>
    </r>
    <r>
      <rPr>
        <sz val="11"/>
        <color rgb="FF000000"/>
        <rFont val="等线"/>
        <family val="3"/>
        <charset val="134"/>
      </rPr>
      <t xml:space="preserve">
</t>
    </r>
    <r>
      <rPr>
        <sz val="9"/>
        <color rgb="FF000000"/>
        <rFont val="微软雅黑"/>
        <family val="2"/>
        <charset val="134"/>
      </rPr>
      <t>2.5：操作管理模块：开发中，操作指标监视试运行，数据核对进行中；</t>
    </r>
    <r>
      <rPr>
        <sz val="11"/>
        <color rgb="FF000000"/>
        <rFont val="等线"/>
        <family val="3"/>
        <charset val="134"/>
      </rPr>
      <t xml:space="preserve">
</t>
    </r>
    <r>
      <rPr>
        <sz val="9"/>
        <color rgb="FF000000"/>
        <rFont val="微软雅黑"/>
        <family val="2"/>
        <charset val="134"/>
      </rPr>
      <t>2.6：生产统计模块：开发中，数据核对进行中；</t>
    </r>
    <r>
      <rPr>
        <sz val="11"/>
        <color rgb="FF000000"/>
        <rFont val="等线"/>
        <family val="3"/>
        <charset val="134"/>
      </rPr>
      <t xml:space="preserve">
</t>
    </r>
    <r>
      <rPr>
        <sz val="9"/>
        <color rgb="FF000000"/>
        <rFont val="微软雅黑"/>
        <family val="2"/>
        <charset val="134"/>
      </rPr>
      <t>2.7：生产计划模块：未开始；</t>
    </r>
    <r>
      <rPr>
        <sz val="11"/>
        <color rgb="FF000000"/>
        <rFont val="等线"/>
        <family val="3"/>
        <charset val="134"/>
      </rPr>
      <t xml:space="preserve">
</t>
    </r>
    <r>
      <rPr>
        <sz val="9"/>
        <color rgb="FF000000"/>
        <rFont val="微软雅黑"/>
        <family val="2"/>
        <charset val="134"/>
      </rPr>
      <t>2.8：系统集成接口：暂停；LIMS的商务进行中，HSE的接口延至8月中下旬；</t>
    </r>
    <r>
      <rPr>
        <sz val="11"/>
        <color rgb="FF000000"/>
        <rFont val="等线"/>
        <family val="3"/>
        <charset val="134"/>
      </rPr>
      <t xml:space="preserve">
</t>
    </r>
    <r>
      <rPr>
        <sz val="9"/>
        <color rgb="FF000000"/>
        <rFont val="微软雅黑"/>
        <family val="2"/>
        <charset val="134"/>
      </rPr>
      <t>2.9：能源管理模块：开发中，完成所有计量点的组态；数据核对进行中；</t>
    </r>
    <r>
      <rPr>
        <sz val="11"/>
        <color rgb="FF000000"/>
        <rFont val="等线"/>
        <family val="3"/>
        <charset val="134"/>
      </rPr>
      <t xml:space="preserve">
</t>
    </r>
    <r>
      <rPr>
        <sz val="9"/>
        <color rgb="FF000000"/>
        <rFont val="微软雅黑"/>
        <family val="2"/>
        <charset val="134"/>
      </rPr>
      <t>2.10：报警管理模块：开发中，完成报警事件采集和报警信息优化，数据核对进行中；</t>
    </r>
    <r>
      <rPr>
        <sz val="11"/>
        <color rgb="FF000000"/>
        <rFont val="等线"/>
        <family val="3"/>
        <charset val="134"/>
      </rPr>
      <t xml:space="preserve">
</t>
    </r>
    <r>
      <rPr>
        <sz val="9"/>
        <color rgb="FF000000"/>
        <rFont val="微软雅黑"/>
        <family val="2"/>
        <charset val="134"/>
      </rPr>
      <t>2.11：批次管理模块：开发中；完成BOM和工艺路线开发调试；</t>
    </r>
  </si>
  <si>
    <r>
      <rPr>
        <sz val="9"/>
        <color rgb="FF000000"/>
        <rFont val="微软雅黑"/>
        <family val="2"/>
        <charset val="134"/>
      </rPr>
      <t>1.瑞祥实施：基础设置整改：问题梳理进行中；</t>
    </r>
    <r>
      <rPr>
        <sz val="11"/>
        <color theme="1"/>
        <rFont val="等线"/>
        <family val="2"/>
        <scheme val="minor"/>
      </rPr>
      <t xml:space="preserve">
</t>
    </r>
    <r>
      <rPr>
        <sz val="9"/>
        <color rgb="FF000000"/>
        <rFont val="微软雅黑"/>
        <family val="2"/>
        <charset val="134"/>
      </rPr>
      <t>1.1：工艺管理模块：开发中，工艺流程图、合格率、连锁/自控率/工艺平稳率试运行；工艺变更管理开发延到8月底；</t>
    </r>
    <r>
      <rPr>
        <sz val="11"/>
        <color theme="1"/>
        <rFont val="等线"/>
        <family val="2"/>
        <scheme val="minor"/>
      </rPr>
      <t xml:space="preserve">
</t>
    </r>
    <r>
      <rPr>
        <sz val="9"/>
        <color rgb="FF000000"/>
        <rFont val="微软雅黑"/>
        <family val="2"/>
        <charset val="134"/>
      </rPr>
      <t>1.2：物料管理模块：开发中，正在对各工段数据核对（完成二氯苯/废水工段）；</t>
    </r>
    <r>
      <rPr>
        <sz val="11"/>
        <color theme="1"/>
        <rFont val="等线"/>
        <family val="2"/>
        <scheme val="minor"/>
      </rPr>
      <t xml:space="preserve">
</t>
    </r>
    <r>
      <rPr>
        <sz val="9"/>
        <color rgb="FF000000"/>
        <rFont val="微软雅黑"/>
        <family val="2"/>
        <charset val="134"/>
      </rPr>
      <t>1.3：调度管理模块：开发中，完成调度报表开发；</t>
    </r>
    <r>
      <rPr>
        <sz val="11"/>
        <color theme="1"/>
        <rFont val="等线"/>
        <family val="2"/>
        <scheme val="minor"/>
      </rPr>
      <t xml:space="preserve">
</t>
    </r>
    <r>
      <rPr>
        <sz val="9"/>
        <color rgb="FF000000"/>
        <rFont val="微软雅黑"/>
        <family val="2"/>
        <charset val="134"/>
      </rPr>
      <t>1.4：持续改善模块：开发中，完成RPS报告调试；完成改善功能开发；</t>
    </r>
    <r>
      <rPr>
        <sz val="11"/>
        <color theme="1"/>
        <rFont val="等线"/>
        <family val="2"/>
        <scheme val="minor"/>
      </rPr>
      <t xml:space="preserve">
</t>
    </r>
    <r>
      <rPr>
        <sz val="9"/>
        <color rgb="FF000000"/>
        <rFont val="微软雅黑"/>
        <family val="2"/>
        <charset val="134"/>
      </rPr>
      <t>1.5：操作管理模块：试运行；</t>
    </r>
    <r>
      <rPr>
        <sz val="11"/>
        <color theme="1"/>
        <rFont val="等线"/>
        <family val="2"/>
        <scheme val="minor"/>
      </rPr>
      <t xml:space="preserve">
</t>
    </r>
    <r>
      <rPr>
        <sz val="9"/>
        <color rgb="FF000000"/>
        <rFont val="微软雅黑"/>
        <family val="2"/>
        <charset val="134"/>
      </rPr>
      <t>1.6：生产统计模块：开发中，完成预算模型搭建和数据维护功能开发；</t>
    </r>
    <r>
      <rPr>
        <sz val="11"/>
        <color theme="1"/>
        <rFont val="等线"/>
        <family val="2"/>
        <scheme val="minor"/>
      </rPr>
      <t xml:space="preserve">
</t>
    </r>
    <r>
      <rPr>
        <sz val="9"/>
        <color rgb="FF000000"/>
        <rFont val="微软雅黑"/>
        <family val="2"/>
        <charset val="134"/>
      </rPr>
      <t>1.7：生产计划模块：未开始；</t>
    </r>
    <r>
      <rPr>
        <sz val="11"/>
        <color theme="1"/>
        <rFont val="等线"/>
        <family val="2"/>
        <scheme val="minor"/>
      </rPr>
      <t xml:space="preserve">
</t>
    </r>
    <r>
      <rPr>
        <sz val="9"/>
        <color rgb="FF000000"/>
        <rFont val="微软雅黑"/>
        <family val="2"/>
        <charset val="134"/>
      </rPr>
      <t>1.8：系统集成接口：进行中；LIMS的商务进行中，HSE的接口延至8月中下旬；SAP的接口待方案讨论；</t>
    </r>
    <r>
      <rPr>
        <sz val="11"/>
        <color theme="1"/>
        <rFont val="等线"/>
        <family val="2"/>
        <scheme val="minor"/>
      </rPr>
      <t xml:space="preserve">
</t>
    </r>
    <r>
      <rPr>
        <sz val="9"/>
        <color rgb="FF000000"/>
        <rFont val="微软雅黑"/>
        <family val="2"/>
        <charset val="134"/>
      </rPr>
      <t>2.瑞泰实施：</t>
    </r>
    <r>
      <rPr>
        <sz val="11"/>
        <color theme="1"/>
        <rFont val="等线"/>
        <family val="2"/>
        <scheme val="minor"/>
      </rPr>
      <t xml:space="preserve">
</t>
    </r>
    <r>
      <rPr>
        <sz val="9"/>
        <color rgb="FF000000"/>
        <rFont val="微软雅黑"/>
        <family val="2"/>
        <charset val="134"/>
      </rPr>
      <t>2.1：工艺管理模块：开发中，完成UI流程图绘制112/300+；工艺文档管理和平稳率开发进行中；</t>
    </r>
    <r>
      <rPr>
        <sz val="11"/>
        <color theme="1"/>
        <rFont val="等线"/>
        <family val="2"/>
        <scheme val="minor"/>
      </rPr>
      <t xml:space="preserve">
</t>
    </r>
    <r>
      <rPr>
        <sz val="9"/>
        <color rgb="FF000000"/>
        <rFont val="微软雅黑"/>
        <family val="2"/>
        <charset val="134"/>
      </rPr>
      <t>2.2：物料管理模块：开发中，数据公式核对初步完成；装置/互供/盘点开发进行中；</t>
    </r>
    <r>
      <rPr>
        <sz val="11"/>
        <color theme="1"/>
        <rFont val="等线"/>
        <family val="2"/>
        <scheme val="minor"/>
      </rPr>
      <t xml:space="preserve">
</t>
    </r>
    <r>
      <rPr>
        <sz val="9"/>
        <color rgb="FF000000"/>
        <rFont val="微软雅黑"/>
        <family val="2"/>
        <charset val="134"/>
      </rPr>
      <t>2.3：调度管理模块：开发中；可视化监控/交接班日志开发进行中；</t>
    </r>
    <r>
      <rPr>
        <sz val="11"/>
        <color theme="1"/>
        <rFont val="等线"/>
        <family val="2"/>
        <scheme val="minor"/>
      </rPr>
      <t xml:space="preserve">
</t>
    </r>
    <r>
      <rPr>
        <sz val="9"/>
        <color rgb="FF000000"/>
        <rFont val="微软雅黑"/>
        <family val="2"/>
        <charset val="134"/>
      </rPr>
      <t>2.4：持续改善模块：未开始；</t>
    </r>
    <r>
      <rPr>
        <sz val="11"/>
        <color theme="1"/>
        <rFont val="等线"/>
        <family val="2"/>
        <scheme val="minor"/>
      </rPr>
      <t xml:space="preserve">
</t>
    </r>
    <r>
      <rPr>
        <sz val="9"/>
        <color rgb="FF000000"/>
        <rFont val="微软雅黑"/>
        <family val="2"/>
        <charset val="134"/>
      </rPr>
      <t>2.5：操作管理模块：开发中，操作指标监视试运行；指令管理/交接班日志开发进行中；</t>
    </r>
    <r>
      <rPr>
        <sz val="11"/>
        <color theme="1"/>
        <rFont val="等线"/>
        <family val="2"/>
        <scheme val="minor"/>
      </rPr>
      <t xml:space="preserve">
</t>
    </r>
    <r>
      <rPr>
        <sz val="9"/>
        <color rgb="FF000000"/>
        <rFont val="微软雅黑"/>
        <family val="2"/>
        <charset val="134"/>
      </rPr>
      <t>2.6：生产统计模块：开发中，数据公式核对进行中；</t>
    </r>
    <r>
      <rPr>
        <sz val="11"/>
        <color theme="1"/>
        <rFont val="等线"/>
        <family val="2"/>
        <scheme val="minor"/>
      </rPr>
      <t xml:space="preserve">
</t>
    </r>
    <r>
      <rPr>
        <sz val="9"/>
        <color rgb="FF000000"/>
        <rFont val="微软雅黑"/>
        <family val="2"/>
        <charset val="134"/>
      </rPr>
      <t>2.7：生产计划模块：未开始；</t>
    </r>
    <r>
      <rPr>
        <sz val="11"/>
        <color theme="1"/>
        <rFont val="等线"/>
        <family val="2"/>
        <scheme val="minor"/>
      </rPr>
      <t xml:space="preserve">
</t>
    </r>
    <r>
      <rPr>
        <sz val="9"/>
        <color rgb="FF000000"/>
        <rFont val="微软雅黑"/>
        <family val="2"/>
        <charset val="134"/>
      </rPr>
      <t>2.8：系统集成接口：进行中；LIMS的商务进行中，HSE的接口延至8月中下旬；SAP的接口待方案讨论；</t>
    </r>
    <r>
      <rPr>
        <sz val="11"/>
        <color theme="1"/>
        <rFont val="等线"/>
        <family val="2"/>
        <scheme val="minor"/>
      </rPr>
      <t xml:space="preserve">
</t>
    </r>
    <r>
      <rPr>
        <sz val="9"/>
        <color rgb="FF000000"/>
        <rFont val="微软雅黑"/>
        <family val="2"/>
        <charset val="134"/>
      </rPr>
      <t>2.9：能源管理模块：开发中，数据核对进行中；</t>
    </r>
    <r>
      <rPr>
        <sz val="11"/>
        <color theme="1"/>
        <rFont val="等线"/>
        <family val="2"/>
        <scheme val="minor"/>
      </rPr>
      <t xml:space="preserve">
</t>
    </r>
    <r>
      <rPr>
        <sz val="9"/>
        <color rgb="FF000000"/>
        <rFont val="微软雅黑"/>
        <family val="2"/>
        <charset val="134"/>
      </rPr>
      <t>2.10：报警管理模块：试运行；</t>
    </r>
    <r>
      <rPr>
        <sz val="11"/>
        <color theme="1"/>
        <rFont val="等线"/>
        <family val="2"/>
        <scheme val="minor"/>
      </rPr>
      <t xml:space="preserve">
</t>
    </r>
    <r>
      <rPr>
        <sz val="9"/>
        <color rgb="FF000000"/>
        <rFont val="微软雅黑"/>
        <family val="2"/>
        <charset val="134"/>
      </rPr>
      <t xml:space="preserve">2.11：批次管理模块：开发中；完成BOM和工艺路线开发调试； </t>
    </r>
  </si>
  <si>
    <t>1.瑞祥实施：基础设置整改；
1.1：工艺管理模块：试运行，完成工艺模块培训；
1.2：物料管理模块：试运行，完成7个工段数据核对；
1.3：调度管理模块：试运行；
1.4：持续改善模块：开发中；
1.5：操作管理模块：试运行，完成交接班日志和自控指标的开发组态；
1.6：生产统计模块：开发中，完成成本管理功能开发，生产成本核算功能培训；
1.7：生产计划模块：未开始；
1.8：系统集成接口：开发中；LIMS进行中，HSE的接口进行中；SAP的接口待方案讨论；*SAP接口主数据、BOM、计划部分正在协调是否可以提前开展，报工部分正在调研三家工厂方案是否一致；
2.瑞泰实施：
2.1：工艺管理模块：试运行，数据核对进行中；
2.2：物料管理模块：开发中，物料移动功能开发进行中；
2.3：调度管理模块：试运行；
2.4：持续改善模块：开发中；
2.5：操作管理模块：开发中，连锁率开发进行中；
2.6：生产统计模块：开发中，工段日报表开发及数据核对，能源报表开发进行中；
2.7：生产计划模块：未开始；
2.8：系统集成接口：进行中；LIMS进行中，HSE的接口进行中；SAP的接口与瑞泰同步开展；
2.9：能源管理模块：试运行，能源计量点核对；
2.10：报警管理模块：试运行；
2.11：批次管理模块：开发中；完成65个设备工艺参数维护；</t>
  </si>
  <si>
    <t>1.瑞祥实施：基础设置整改；
1.1：工艺管理模块：试运行，完成工艺变更表单的开发配置；
1.2：物料管理模块：试运行，完成2个工段数据核对；
1.3：调度管理模块：试运行；
1.4：持续改善模块：开发中；完成RPS报告功能的开发及与关键用户核对；
1.5：操作管理模块：试运行，完成交接班日志和自控指标的开发组态；
1.6：生产统计模块：开发中，完成人工/环保/制造费用开发及功能验证；
1.7：生产计划模块：未开始；
1.8：系统集成接口：开发中；LIMS进行中，HSE的接口集成方案讨论；SAP的接口方案讨论确定；*SAP接口主数据、BOM、计划部分正在提前开展，报工部分MES功能正在优化开发；
2.瑞泰实施：
2.1：工艺管理模块：试运行，数据核对进行中，流程图绘制按需要进行中；
2.2：物料管理模块：开发中，物料移动功能开发进行中；
2.3：调度管理模块：试运行；
2.4：持续改善模块：开发中；完成LSW功能测试，T3/T4会议功能开发和组态进行中；
2.5：操作管理模块：开发中，连锁率开发进行中；
2.6：生产统计模块：开发中，工段日报表开发及数据核对进行中，完成能源报表开发；
2.7：生产计划模块：未开始；
2.8：系统集成接口：进行中；同瑞祥进度一致
2.9：能源管理模块：试运行，能源计量点核对进行中；
2.10：报警管理模块：试运行；
2.11：批次管理模块：开发中；</t>
  </si>
  <si>
    <t>1.瑞祥实施：基础设置整改；移动功能部署；
1.1：工艺管理模块：试运行；
1.2：物料管理模块：试运行，投入产出模型数据核对进行中；
1.3：调度管理模块：试运行；
1.4：持续改善模块：开发中；完成T3/T4/T5模版开发和组态；
1.5：操作管理模块：试运行；
1.6：生产统计模块：开发中，完成分摊规则梳理及功能验证；
1.7：生产计划模块：开发中，完成计划编制功能开发；
1.8：系统集成接口：开发中；完成LIMS对接，HSE的接口集成方案讨论；SAP接口主数据、BOM、计划部分正在调试，报工部分MES功能正在优化开发；
2.瑞泰实施：
2.1：工艺管理模块：试运行，数据核对进行中，流程图绘制按需要进行中；
2.2：物料管理模块：试运行；
2.3：调度管理模块：试运行；
2.4：持续改善模块：开发中；T1/T2/T3/T4会议功能开发和组态进行中；走动管理测试和优化；
2.5：操作管理模块：开发中，连锁率导入进行中，完成技控点组态；
2.6：生产统计模块：开发中，完成工段日报表开发及数据核对，车间报表开发进行中；
2.7：生产计划模块：未开始；
2.8：系统集成接口：进行中；同瑞祥；
2.9：能源管理模块：试运行；
2.10：报警管理模块：试运行；
2.11：批次管理模块：试运行；</t>
  </si>
  <si>
    <r>
      <rPr>
        <sz val="9"/>
        <rFont val="微软雅黑"/>
        <family val="2"/>
        <charset val="134"/>
      </rPr>
      <t>1.瑞祥实施：基础设置整改；质量管理报表开发进行中；</t>
    </r>
    <r>
      <rPr>
        <sz val="11"/>
        <color theme="1"/>
        <rFont val="等线"/>
        <family val="2"/>
        <scheme val="minor"/>
      </rPr>
      <t xml:space="preserve">
</t>
    </r>
    <r>
      <rPr>
        <sz val="9"/>
        <rFont val="微软雅黑"/>
        <family val="2"/>
        <charset val="134"/>
      </rPr>
      <t>1.1：工艺管理模块：试运行；</t>
    </r>
    <r>
      <rPr>
        <sz val="11"/>
        <color theme="1"/>
        <rFont val="等线"/>
        <family val="2"/>
        <scheme val="minor"/>
      </rPr>
      <t xml:space="preserve">
</t>
    </r>
    <r>
      <rPr>
        <sz val="9"/>
        <rFont val="微软雅黑"/>
        <family val="2"/>
        <charset val="134"/>
      </rPr>
      <t>1.2：物料管理模块：试运行，投入产出模型数据核对进行中（二氯苯胺/硝化装置）；</t>
    </r>
    <r>
      <rPr>
        <sz val="11"/>
        <color theme="1"/>
        <rFont val="等线"/>
        <family val="2"/>
        <scheme val="minor"/>
      </rPr>
      <t xml:space="preserve">
</t>
    </r>
    <r>
      <rPr>
        <sz val="9"/>
        <rFont val="微软雅黑"/>
        <family val="2"/>
        <charset val="134"/>
      </rPr>
      <t>1.3：调度管理模块：试运行；</t>
    </r>
    <r>
      <rPr>
        <sz val="11"/>
        <color theme="1"/>
        <rFont val="等线"/>
        <family val="2"/>
        <scheme val="minor"/>
      </rPr>
      <t xml:space="preserve">
</t>
    </r>
    <r>
      <rPr>
        <sz val="9"/>
        <rFont val="微软雅黑"/>
        <family val="2"/>
        <charset val="134"/>
      </rPr>
      <t>1.4：持续改善模块：开发中；完成生产运营部T3/T4模版开发和组态；</t>
    </r>
    <r>
      <rPr>
        <sz val="11"/>
        <color theme="1"/>
        <rFont val="等线"/>
        <family val="2"/>
        <scheme val="minor"/>
      </rPr>
      <t xml:space="preserve">
</t>
    </r>
    <r>
      <rPr>
        <sz val="9"/>
        <rFont val="微软雅黑"/>
        <family val="2"/>
        <charset val="134"/>
      </rPr>
      <t>1.5：操作管理模块：试运行；</t>
    </r>
    <r>
      <rPr>
        <sz val="11"/>
        <color theme="1"/>
        <rFont val="等线"/>
        <family val="2"/>
        <scheme val="minor"/>
      </rPr>
      <t xml:space="preserve">
</t>
    </r>
    <r>
      <rPr>
        <sz val="9"/>
        <rFont val="微软雅黑"/>
        <family val="2"/>
        <charset val="134"/>
      </rPr>
      <t>1.6：生产统计模块：开发中，完成电力分摊规则梳理；</t>
    </r>
    <r>
      <rPr>
        <sz val="11"/>
        <color theme="1"/>
        <rFont val="等线"/>
        <family val="2"/>
        <scheme val="minor"/>
      </rPr>
      <t xml:space="preserve">
</t>
    </r>
    <r>
      <rPr>
        <sz val="9"/>
        <rFont val="微软雅黑"/>
        <family val="2"/>
        <charset val="134"/>
      </rPr>
      <t>1.7：生产计划模块：开发中，待SAP接口接入计划；</t>
    </r>
    <r>
      <rPr>
        <sz val="11"/>
        <color theme="1"/>
        <rFont val="等线"/>
        <family val="2"/>
        <scheme val="minor"/>
      </rPr>
      <t xml:space="preserve">
</t>
    </r>
    <r>
      <rPr>
        <sz val="9"/>
        <rFont val="微软雅黑"/>
        <family val="2"/>
        <charset val="134"/>
      </rPr>
      <t>1.8：系统集成接口：开发中；SAP接口主数据、BOM、计划部分正在调试，报工部分MES功能正在优化开发；</t>
    </r>
    <r>
      <rPr>
        <sz val="11"/>
        <color theme="1"/>
        <rFont val="等线"/>
        <family val="2"/>
        <scheme val="minor"/>
      </rPr>
      <t xml:space="preserve">
</t>
    </r>
    <r>
      <rPr>
        <sz val="9"/>
        <rFont val="微软雅黑"/>
        <family val="2"/>
        <charset val="134"/>
      </rPr>
      <t>2.瑞泰实施：</t>
    </r>
    <r>
      <rPr>
        <sz val="11"/>
        <color theme="1"/>
        <rFont val="等线"/>
        <family val="2"/>
        <scheme val="minor"/>
      </rPr>
      <t xml:space="preserve">
</t>
    </r>
    <r>
      <rPr>
        <sz val="9"/>
        <rFont val="微软雅黑"/>
        <family val="2"/>
        <charset val="134"/>
      </rPr>
      <t>2.1：工艺管理模块：试运行，数据核对进行中，流程图绘制按需要进行中；</t>
    </r>
    <r>
      <rPr>
        <sz val="11"/>
        <color theme="1"/>
        <rFont val="等线"/>
        <family val="2"/>
        <scheme val="minor"/>
      </rPr>
      <t xml:space="preserve">
</t>
    </r>
    <r>
      <rPr>
        <sz val="9"/>
        <rFont val="微软雅黑"/>
        <family val="2"/>
        <charset val="134"/>
      </rPr>
      <t>2.2：物料管理模块：试运行；小时罐量提取功能优化；</t>
    </r>
    <r>
      <rPr>
        <sz val="11"/>
        <color theme="1"/>
        <rFont val="等线"/>
        <family val="2"/>
        <scheme val="minor"/>
      </rPr>
      <t xml:space="preserve">
</t>
    </r>
    <r>
      <rPr>
        <sz val="9"/>
        <rFont val="微软雅黑"/>
        <family val="2"/>
        <charset val="134"/>
      </rPr>
      <t>2.3：调度管理模块：试运行；</t>
    </r>
    <r>
      <rPr>
        <sz val="11"/>
        <color theme="1"/>
        <rFont val="等线"/>
        <family val="2"/>
        <scheme val="minor"/>
      </rPr>
      <t xml:space="preserve">
</t>
    </r>
    <r>
      <rPr>
        <sz val="9"/>
        <rFont val="微软雅黑"/>
        <family val="2"/>
        <charset val="134"/>
      </rPr>
      <t>2.4：持续改善模块：开发中；T1/T2/T3/T4会议功能开发和组态进行中；T会配置功能培训；</t>
    </r>
    <r>
      <rPr>
        <sz val="11"/>
        <color theme="1"/>
        <rFont val="等线"/>
        <family val="2"/>
        <scheme val="minor"/>
      </rPr>
      <t xml:space="preserve">
</t>
    </r>
    <r>
      <rPr>
        <sz val="9"/>
        <rFont val="微软雅黑"/>
        <family val="2"/>
        <charset val="134"/>
      </rPr>
      <t>2.5：操作管理模块：开发中，连锁率导入进行中；</t>
    </r>
    <r>
      <rPr>
        <sz val="11"/>
        <color theme="1"/>
        <rFont val="等线"/>
        <family val="2"/>
        <scheme val="minor"/>
      </rPr>
      <t xml:space="preserve">
</t>
    </r>
    <r>
      <rPr>
        <sz val="9"/>
        <rFont val="微软雅黑"/>
        <family val="2"/>
        <charset val="134"/>
      </rPr>
      <t>2.6：生产统计模块：开发中，完成车间运营报表开发；</t>
    </r>
    <r>
      <rPr>
        <sz val="11"/>
        <color theme="1"/>
        <rFont val="等线"/>
        <family val="2"/>
        <scheme val="minor"/>
      </rPr>
      <t xml:space="preserve">
</t>
    </r>
    <r>
      <rPr>
        <sz val="9"/>
        <rFont val="微软雅黑"/>
        <family val="2"/>
        <charset val="134"/>
      </rPr>
      <t>2.7：生产计划模块：开发中；待SAP接口接入计划</t>
    </r>
    <r>
      <rPr>
        <sz val="11"/>
        <color theme="1"/>
        <rFont val="等线"/>
        <family val="2"/>
        <scheme val="minor"/>
      </rPr>
      <t xml:space="preserve">
</t>
    </r>
    <r>
      <rPr>
        <sz val="9"/>
        <rFont val="微软雅黑"/>
        <family val="2"/>
        <charset val="134"/>
      </rPr>
      <t>2.8：系统集成接口：进行中；同瑞祥；</t>
    </r>
    <r>
      <rPr>
        <sz val="11"/>
        <color theme="1"/>
        <rFont val="等线"/>
        <family val="2"/>
        <scheme val="minor"/>
      </rPr>
      <t xml:space="preserve">
</t>
    </r>
    <r>
      <rPr>
        <sz val="9"/>
        <rFont val="微软雅黑"/>
        <family val="2"/>
        <charset val="134"/>
      </rPr>
      <t>2.9：能源管理模块：试运行；</t>
    </r>
    <r>
      <rPr>
        <sz val="11"/>
        <color theme="1"/>
        <rFont val="等线"/>
        <family val="2"/>
        <scheme val="minor"/>
      </rPr>
      <t xml:space="preserve">
</t>
    </r>
    <r>
      <rPr>
        <sz val="9"/>
        <rFont val="微软雅黑"/>
        <family val="2"/>
        <charset val="134"/>
      </rPr>
      <t>2.10：报警管理模块：试运行；</t>
    </r>
    <r>
      <rPr>
        <sz val="11"/>
        <color theme="1"/>
        <rFont val="等线"/>
        <family val="2"/>
        <scheme val="minor"/>
      </rPr>
      <t xml:space="preserve">
</t>
    </r>
    <r>
      <rPr>
        <sz val="9"/>
        <rFont val="微软雅黑"/>
        <family val="2"/>
        <charset val="134"/>
      </rPr>
      <t>2.11：批次管理模块：试运行；</t>
    </r>
    <r>
      <rPr>
        <sz val="11"/>
        <color theme="1"/>
        <rFont val="等线"/>
        <family val="2"/>
        <scheme val="minor"/>
      </rPr>
      <t xml:space="preserve">
</t>
    </r>
    <r>
      <rPr>
        <sz val="9"/>
        <rFont val="微软雅黑"/>
        <family val="2"/>
        <charset val="134"/>
      </rPr>
      <t>2.12：质量管理模块：SPC分析功能培训；</t>
    </r>
  </si>
  <si>
    <r>
      <rPr>
        <sz val="9"/>
        <color rgb="FF000000"/>
        <rFont val="微软雅黑"/>
        <family val="2"/>
        <charset val="134"/>
      </rPr>
      <t>1.瑞祥实施：基础设置整改；计划10.10召开试运行启动会；</t>
    </r>
    <r>
      <rPr>
        <sz val="11"/>
        <color theme="1"/>
        <rFont val="等线"/>
        <family val="2"/>
        <scheme val="minor"/>
      </rPr>
      <t xml:space="preserve">
</t>
    </r>
    <r>
      <rPr>
        <sz val="9"/>
        <color rgb="FF000000"/>
        <rFont val="微软雅黑"/>
        <family val="2"/>
        <charset val="134"/>
      </rPr>
      <t>1.1：工艺管理模块：试运行；</t>
    </r>
    <r>
      <rPr>
        <sz val="11"/>
        <color theme="1"/>
        <rFont val="等线"/>
        <family val="2"/>
        <scheme val="minor"/>
      </rPr>
      <t xml:space="preserve">
</t>
    </r>
    <r>
      <rPr>
        <sz val="9"/>
        <color rgb="FF000000"/>
        <rFont val="微软雅黑"/>
        <family val="2"/>
        <charset val="134"/>
      </rPr>
      <t>1.2：物料管理模块：试运行；</t>
    </r>
    <r>
      <rPr>
        <sz val="11"/>
        <color theme="1"/>
        <rFont val="等线"/>
        <family val="2"/>
        <scheme val="minor"/>
      </rPr>
      <t xml:space="preserve">
</t>
    </r>
    <r>
      <rPr>
        <sz val="9"/>
        <color rgb="FF000000"/>
        <rFont val="微软雅黑"/>
        <family val="2"/>
        <charset val="134"/>
      </rPr>
      <t>1.3：调度管理模块：试运行；</t>
    </r>
    <r>
      <rPr>
        <sz val="11"/>
        <color theme="1"/>
        <rFont val="等线"/>
        <family val="2"/>
        <scheme val="minor"/>
      </rPr>
      <t xml:space="preserve">
</t>
    </r>
    <r>
      <rPr>
        <sz val="9"/>
        <color rgb="FF000000"/>
        <rFont val="微软雅黑"/>
        <family val="2"/>
        <charset val="134"/>
      </rPr>
      <t>1.4：持续改善模块：开发中；完成T5会议模版开发，行动项与RPS报告接口开发；</t>
    </r>
    <r>
      <rPr>
        <sz val="11"/>
        <color theme="1"/>
        <rFont val="等线"/>
        <family val="2"/>
        <scheme val="minor"/>
      </rPr>
      <t xml:space="preserve">
</t>
    </r>
    <r>
      <rPr>
        <sz val="9"/>
        <color rgb="FF000000"/>
        <rFont val="微软雅黑"/>
        <family val="2"/>
        <charset val="134"/>
      </rPr>
      <t>1.5：操作管理模块：试运行；</t>
    </r>
    <r>
      <rPr>
        <sz val="11"/>
        <color theme="1"/>
        <rFont val="等线"/>
        <family val="2"/>
        <scheme val="minor"/>
      </rPr>
      <t xml:space="preserve">
</t>
    </r>
    <r>
      <rPr>
        <sz val="9"/>
        <color rgb="FF000000"/>
        <rFont val="微软雅黑"/>
        <family val="2"/>
        <charset val="134"/>
      </rPr>
      <t>1.6：生产统计模块：试运行；完成电力分摊组态；</t>
    </r>
    <r>
      <rPr>
        <sz val="11"/>
        <color theme="1"/>
        <rFont val="等线"/>
        <family val="2"/>
        <scheme val="minor"/>
      </rPr>
      <t xml:space="preserve">
</t>
    </r>
    <r>
      <rPr>
        <sz val="9"/>
        <color rgb="FF000000"/>
        <rFont val="微软雅黑"/>
        <family val="2"/>
        <charset val="134"/>
      </rPr>
      <t>1.7：生产计划模块：试运行；</t>
    </r>
    <r>
      <rPr>
        <sz val="11"/>
        <color theme="1"/>
        <rFont val="等线"/>
        <family val="2"/>
        <scheme val="minor"/>
      </rPr>
      <t xml:space="preserve">
</t>
    </r>
    <r>
      <rPr>
        <sz val="9"/>
        <color rgb="FF000000"/>
        <rFont val="微软雅黑"/>
        <family val="2"/>
        <charset val="134"/>
      </rPr>
      <t>1.8：系统集成接口：开发中；完成SAP接口主数据、BOM、计划三个接口的调试和切换，报工部分完成以瑞恒一个工段为测试；明确HSE的接口方案；移动应用与OA集成开发；</t>
    </r>
    <r>
      <rPr>
        <sz val="11"/>
        <color theme="1"/>
        <rFont val="等线"/>
        <family val="2"/>
        <scheme val="minor"/>
      </rPr>
      <t xml:space="preserve">
</t>
    </r>
    <r>
      <rPr>
        <sz val="9"/>
        <color rgb="FF000000"/>
        <rFont val="微软雅黑"/>
        <family val="2"/>
        <charset val="134"/>
      </rPr>
      <t>2.瑞泰实施：</t>
    </r>
    <r>
      <rPr>
        <sz val="11"/>
        <color theme="1"/>
        <rFont val="等线"/>
        <family val="2"/>
        <scheme val="minor"/>
      </rPr>
      <t xml:space="preserve">
</t>
    </r>
    <r>
      <rPr>
        <sz val="9"/>
        <color rgb="FF000000"/>
        <rFont val="微软雅黑"/>
        <family val="2"/>
        <charset val="134"/>
      </rPr>
      <t>2.1：工艺管理模块：试运行；</t>
    </r>
    <r>
      <rPr>
        <sz val="11"/>
        <color theme="1"/>
        <rFont val="等线"/>
        <family val="2"/>
        <scheme val="minor"/>
      </rPr>
      <t xml:space="preserve">
</t>
    </r>
    <r>
      <rPr>
        <sz val="9"/>
        <color rgb="FF000000"/>
        <rFont val="微软雅黑"/>
        <family val="2"/>
        <charset val="134"/>
      </rPr>
      <t>2.2：物料管理模块：试运行；</t>
    </r>
    <r>
      <rPr>
        <sz val="11"/>
        <color theme="1"/>
        <rFont val="等线"/>
        <family val="2"/>
        <scheme val="minor"/>
      </rPr>
      <t xml:space="preserve">
</t>
    </r>
    <r>
      <rPr>
        <sz val="9"/>
        <color rgb="FF000000"/>
        <rFont val="微软雅黑"/>
        <family val="2"/>
        <charset val="134"/>
      </rPr>
      <t>2.3：调度管理模块：试运行；</t>
    </r>
    <r>
      <rPr>
        <sz val="11"/>
        <color theme="1"/>
        <rFont val="等线"/>
        <family val="2"/>
        <scheme val="minor"/>
      </rPr>
      <t xml:space="preserve">
</t>
    </r>
    <r>
      <rPr>
        <sz val="9"/>
        <color rgb="FF000000"/>
        <rFont val="微软雅黑"/>
        <family val="2"/>
        <charset val="134"/>
      </rPr>
      <t>2.4：持续改善模块：开发中；T1/T2/T4层级会议开发中；</t>
    </r>
    <r>
      <rPr>
        <sz val="11"/>
        <color theme="1"/>
        <rFont val="等线"/>
        <family val="2"/>
        <scheme val="minor"/>
      </rPr>
      <t xml:space="preserve">
</t>
    </r>
    <r>
      <rPr>
        <sz val="9"/>
        <color rgb="FF000000"/>
        <rFont val="微软雅黑"/>
        <family val="2"/>
        <charset val="134"/>
      </rPr>
      <t>2.5：操作管理模块：试运行，连锁率导入进行中；</t>
    </r>
    <r>
      <rPr>
        <sz val="11"/>
        <color theme="1"/>
        <rFont val="等线"/>
        <family val="2"/>
        <scheme val="minor"/>
      </rPr>
      <t xml:space="preserve">
</t>
    </r>
    <r>
      <rPr>
        <sz val="9"/>
        <color rgb="FF000000"/>
        <rFont val="微软雅黑"/>
        <family val="2"/>
        <charset val="134"/>
      </rPr>
      <t>2.6：生产统计模块：试运行；车间报表开发；工段成本报表开发；</t>
    </r>
    <r>
      <rPr>
        <sz val="11"/>
        <color theme="1"/>
        <rFont val="等线"/>
        <family val="2"/>
        <scheme val="minor"/>
      </rPr>
      <t xml:space="preserve">
</t>
    </r>
    <r>
      <rPr>
        <sz val="9"/>
        <color rgb="FF000000"/>
        <rFont val="微软雅黑"/>
        <family val="2"/>
        <charset val="134"/>
      </rPr>
      <t>2.7：生产计划模块：开发中；待SAP接口接入计划；</t>
    </r>
    <r>
      <rPr>
        <sz val="11"/>
        <color theme="1"/>
        <rFont val="等线"/>
        <family val="2"/>
        <scheme val="minor"/>
      </rPr>
      <t xml:space="preserve">
</t>
    </r>
    <r>
      <rPr>
        <sz val="9"/>
        <color rgb="FF000000"/>
        <rFont val="微软雅黑"/>
        <family val="2"/>
        <charset val="134"/>
      </rPr>
      <t>2.8：系统集成接口：进行中；同瑞祥；</t>
    </r>
    <r>
      <rPr>
        <sz val="11"/>
        <color theme="1"/>
        <rFont val="等线"/>
        <family val="2"/>
        <scheme val="minor"/>
      </rPr>
      <t xml:space="preserve">
</t>
    </r>
    <r>
      <rPr>
        <sz val="9"/>
        <color rgb="FF000000"/>
        <rFont val="微软雅黑"/>
        <family val="2"/>
        <charset val="134"/>
      </rPr>
      <t>2.9：能源管理模块：试运行；</t>
    </r>
    <r>
      <rPr>
        <sz val="11"/>
        <color theme="1"/>
        <rFont val="等线"/>
        <family val="2"/>
        <scheme val="minor"/>
      </rPr>
      <t xml:space="preserve">
</t>
    </r>
    <r>
      <rPr>
        <sz val="9"/>
        <color rgb="FF000000"/>
        <rFont val="微软雅黑"/>
        <family val="2"/>
        <charset val="134"/>
      </rPr>
      <t>2.10：报警管理模块：试运行；</t>
    </r>
    <r>
      <rPr>
        <sz val="11"/>
        <color theme="1"/>
        <rFont val="等线"/>
        <family val="2"/>
        <scheme val="minor"/>
      </rPr>
      <t xml:space="preserve">
</t>
    </r>
    <r>
      <rPr>
        <sz val="9"/>
        <color rgb="FF000000"/>
        <rFont val="微软雅黑"/>
        <family val="2"/>
        <charset val="134"/>
      </rPr>
      <t>2.11：批次管理模块：试运行；</t>
    </r>
    <r>
      <rPr>
        <sz val="11"/>
        <color theme="1"/>
        <rFont val="等线"/>
        <family val="2"/>
        <scheme val="minor"/>
      </rPr>
      <t xml:space="preserve">
</t>
    </r>
    <r>
      <rPr>
        <sz val="9"/>
        <color rgb="FF000000"/>
        <rFont val="微软雅黑"/>
        <family val="2"/>
        <charset val="134"/>
      </rPr>
      <t>2.12：质量管理模块：试运行；</t>
    </r>
  </si>
  <si>
    <r>
      <rPr>
        <sz val="9"/>
        <color rgb="FF000000"/>
        <rFont val="微软雅黑"/>
        <family val="2"/>
        <charset val="134"/>
      </rPr>
      <t>1.瑞祥实施：基础设置整改；10.10召开了试运行启动会；周例会的模版中增加用户使用情况（参考瑞恒）和问题跟踪的数据；</t>
    </r>
    <r>
      <rPr>
        <sz val="11"/>
        <color theme="1"/>
        <rFont val="等线"/>
        <family val="2"/>
        <scheme val="minor"/>
      </rPr>
      <t xml:space="preserve">
</t>
    </r>
    <r>
      <rPr>
        <sz val="9"/>
        <color rgb="FF000000"/>
        <rFont val="微软雅黑"/>
        <family val="2"/>
        <charset val="134"/>
      </rPr>
      <t>1.1：工艺管理模块：试运行；</t>
    </r>
    <r>
      <rPr>
        <sz val="11"/>
        <color theme="1"/>
        <rFont val="等线"/>
        <family val="2"/>
        <scheme val="minor"/>
      </rPr>
      <t xml:space="preserve">
</t>
    </r>
    <r>
      <rPr>
        <sz val="9"/>
        <color rgb="FF000000"/>
        <rFont val="微软雅黑"/>
        <family val="2"/>
        <charset val="134"/>
      </rPr>
      <t>1.2：物料管理模块：试运行；</t>
    </r>
    <r>
      <rPr>
        <sz val="11"/>
        <color theme="1"/>
        <rFont val="等线"/>
        <family val="2"/>
        <scheme val="minor"/>
      </rPr>
      <t xml:space="preserve">
</t>
    </r>
    <r>
      <rPr>
        <sz val="9"/>
        <color rgb="FF000000"/>
        <rFont val="微软雅黑"/>
        <family val="2"/>
        <charset val="134"/>
      </rPr>
      <t>1.3：调度管理模块：试运行；</t>
    </r>
    <r>
      <rPr>
        <sz val="11"/>
        <color theme="1"/>
        <rFont val="等线"/>
        <family val="2"/>
        <scheme val="minor"/>
      </rPr>
      <t xml:space="preserve">
</t>
    </r>
    <r>
      <rPr>
        <sz val="9"/>
        <color rgb="FF000000"/>
        <rFont val="微软雅黑"/>
        <family val="2"/>
        <charset val="134"/>
      </rPr>
      <t>1.4：持续改善模块：试运行；</t>
    </r>
    <r>
      <rPr>
        <sz val="11"/>
        <color theme="1"/>
        <rFont val="等线"/>
        <family val="2"/>
        <scheme val="minor"/>
      </rPr>
      <t xml:space="preserve">
</t>
    </r>
    <r>
      <rPr>
        <sz val="9"/>
        <color rgb="FF000000"/>
        <rFont val="微软雅黑"/>
        <family val="2"/>
        <charset val="134"/>
      </rPr>
      <t>1.5：操作管理模块：试运行；</t>
    </r>
    <r>
      <rPr>
        <sz val="11"/>
        <color theme="1"/>
        <rFont val="等线"/>
        <family val="2"/>
        <scheme val="minor"/>
      </rPr>
      <t xml:space="preserve">
</t>
    </r>
    <r>
      <rPr>
        <sz val="9"/>
        <color rgb="FF000000"/>
        <rFont val="微软雅黑"/>
        <family val="2"/>
        <charset val="134"/>
      </rPr>
      <t>1.6：生产统计模块：试运行；产品动力电分摊组态进行中；</t>
    </r>
    <r>
      <rPr>
        <sz val="11"/>
        <color theme="1"/>
        <rFont val="等线"/>
        <family val="2"/>
        <scheme val="minor"/>
      </rPr>
      <t xml:space="preserve">
</t>
    </r>
    <r>
      <rPr>
        <sz val="9"/>
        <color rgb="FF000000"/>
        <rFont val="微软雅黑"/>
        <family val="2"/>
        <charset val="134"/>
      </rPr>
      <t>1.7：生产计划模块：试运行；</t>
    </r>
    <r>
      <rPr>
        <sz val="11"/>
        <color theme="1"/>
        <rFont val="等线"/>
        <family val="2"/>
        <scheme val="minor"/>
      </rPr>
      <t xml:space="preserve">
</t>
    </r>
    <r>
      <rPr>
        <sz val="9"/>
        <color rgb="FF000000"/>
        <rFont val="微软雅黑"/>
        <family val="2"/>
        <charset val="134"/>
      </rPr>
      <t>1.8：系统集成接口：开发中；1.报工WMS/SAP，完成报工以瑞恒一个工段为测试，目前发现主数据不一致的问题，等待解决后可以切换到正式环境，培训使用；2.其他三个接口切换正式环境，持续跟踪；3.明确HSE的接口方案；4.移动应用与OA集成开发进行中；5.瑞泰存销数据从WMS取数，需要已递交到WMS，WMS正在估算；</t>
    </r>
    <r>
      <rPr>
        <sz val="11"/>
        <color theme="1"/>
        <rFont val="等线"/>
        <family val="2"/>
        <scheme val="minor"/>
      </rPr>
      <t xml:space="preserve">
</t>
    </r>
    <r>
      <rPr>
        <sz val="9"/>
        <color rgb="FF000000"/>
        <rFont val="微软雅黑"/>
        <family val="2"/>
        <charset val="134"/>
      </rPr>
      <t>2.瑞泰实施：计划10.14召开试运行启动会；仪表故障统计与分析正在评估中；MES产销存取WMS数据评估中；</t>
    </r>
    <r>
      <rPr>
        <sz val="11"/>
        <color theme="1"/>
        <rFont val="等线"/>
        <family val="2"/>
        <scheme val="minor"/>
      </rPr>
      <t xml:space="preserve">
</t>
    </r>
    <r>
      <rPr>
        <sz val="9"/>
        <color rgb="FF000000"/>
        <rFont val="微软雅黑"/>
        <family val="2"/>
        <charset val="134"/>
      </rPr>
      <t>2.1：工艺管理模块：试运行；</t>
    </r>
    <r>
      <rPr>
        <sz val="11"/>
        <color theme="1"/>
        <rFont val="等线"/>
        <family val="2"/>
        <scheme val="minor"/>
      </rPr>
      <t xml:space="preserve">
</t>
    </r>
    <r>
      <rPr>
        <sz val="9"/>
        <color rgb="FF000000"/>
        <rFont val="微软雅黑"/>
        <family val="2"/>
        <charset val="134"/>
      </rPr>
      <t>2.2：物料管理模块：试运行；</t>
    </r>
    <r>
      <rPr>
        <sz val="11"/>
        <color theme="1"/>
        <rFont val="等线"/>
        <family val="2"/>
        <scheme val="minor"/>
      </rPr>
      <t xml:space="preserve">
</t>
    </r>
    <r>
      <rPr>
        <sz val="9"/>
        <color rgb="FF000000"/>
        <rFont val="微软雅黑"/>
        <family val="2"/>
        <charset val="134"/>
      </rPr>
      <t>2.3：调度管理模块：试运行；</t>
    </r>
    <r>
      <rPr>
        <sz val="11"/>
        <color theme="1"/>
        <rFont val="等线"/>
        <family val="2"/>
        <scheme val="minor"/>
      </rPr>
      <t xml:space="preserve">
</t>
    </r>
    <r>
      <rPr>
        <sz val="9"/>
        <color rgb="FF000000"/>
        <rFont val="微软雅黑"/>
        <family val="2"/>
        <charset val="134"/>
      </rPr>
      <t>2.4：持续改善模块：开发中；T1/T2/T4层级会议开发中；T3层级指标配置；</t>
    </r>
    <r>
      <rPr>
        <sz val="11"/>
        <color theme="1"/>
        <rFont val="等线"/>
        <family val="2"/>
        <scheme val="minor"/>
      </rPr>
      <t xml:space="preserve">
</t>
    </r>
    <r>
      <rPr>
        <sz val="9"/>
        <color rgb="FF000000"/>
        <rFont val="微软雅黑"/>
        <family val="2"/>
        <charset val="134"/>
      </rPr>
      <t>2.5：操作管理模块：试运行，连锁率导入进行中；</t>
    </r>
    <r>
      <rPr>
        <sz val="11"/>
        <color theme="1"/>
        <rFont val="等线"/>
        <family val="2"/>
        <scheme val="minor"/>
      </rPr>
      <t xml:space="preserve">
</t>
    </r>
    <r>
      <rPr>
        <sz val="9"/>
        <color rgb="FF000000"/>
        <rFont val="微软雅黑"/>
        <family val="2"/>
        <charset val="134"/>
      </rPr>
      <t>2.6：生产统计模块：试运行；</t>
    </r>
    <r>
      <rPr>
        <sz val="11"/>
        <color theme="1"/>
        <rFont val="等线"/>
        <family val="2"/>
        <scheme val="minor"/>
      </rPr>
      <t xml:space="preserve">
</t>
    </r>
    <r>
      <rPr>
        <sz val="9"/>
        <color rgb="FF000000"/>
        <rFont val="微软雅黑"/>
        <family val="2"/>
        <charset val="134"/>
      </rPr>
      <t>2.7：生产计划模块：开发中；待SAP接口接入计划；</t>
    </r>
    <r>
      <rPr>
        <sz val="11"/>
        <color theme="1"/>
        <rFont val="等线"/>
        <family val="2"/>
        <scheme val="minor"/>
      </rPr>
      <t xml:space="preserve">
</t>
    </r>
    <r>
      <rPr>
        <sz val="9"/>
        <color rgb="FF000000"/>
        <rFont val="微软雅黑"/>
        <family val="2"/>
        <charset val="134"/>
      </rPr>
      <t>2.8：系统集成接口：进行中；同瑞祥；</t>
    </r>
    <r>
      <rPr>
        <sz val="11"/>
        <color theme="1"/>
        <rFont val="等线"/>
        <family val="2"/>
        <scheme val="minor"/>
      </rPr>
      <t xml:space="preserve">
</t>
    </r>
    <r>
      <rPr>
        <sz val="9"/>
        <color rgb="FF000000"/>
        <rFont val="微软雅黑"/>
        <family val="2"/>
        <charset val="134"/>
      </rPr>
      <t>2.9：能源管理模块：试运行；</t>
    </r>
    <r>
      <rPr>
        <sz val="11"/>
        <color theme="1"/>
        <rFont val="等线"/>
        <family val="2"/>
        <scheme val="minor"/>
      </rPr>
      <t xml:space="preserve">
</t>
    </r>
    <r>
      <rPr>
        <sz val="9"/>
        <color rgb="FF000000"/>
        <rFont val="微软雅黑"/>
        <family val="2"/>
        <charset val="134"/>
      </rPr>
      <t>2.10：报警管理模块：试运行；</t>
    </r>
    <r>
      <rPr>
        <sz val="11"/>
        <color theme="1"/>
        <rFont val="等线"/>
        <family val="2"/>
        <scheme val="minor"/>
      </rPr>
      <t xml:space="preserve">
</t>
    </r>
    <r>
      <rPr>
        <sz val="9"/>
        <color rgb="FF000000"/>
        <rFont val="微软雅黑"/>
        <family val="2"/>
        <charset val="134"/>
      </rPr>
      <t>2.11：批次管理模块：试运行；</t>
    </r>
    <r>
      <rPr>
        <sz val="11"/>
        <color theme="1"/>
        <rFont val="等线"/>
        <family val="2"/>
        <scheme val="minor"/>
      </rPr>
      <t xml:space="preserve">
</t>
    </r>
    <r>
      <rPr>
        <sz val="9"/>
        <color rgb="FF000000"/>
        <rFont val="微软雅黑"/>
        <family val="2"/>
        <charset val="134"/>
      </rPr>
      <t>2.12：质量管理模块：试运行；</t>
    </r>
  </si>
  <si>
    <r>
      <t>1.瑞祥实施：
1.1.基础设置整改：PHD运维责任未界定，目前</t>
    </r>
    <r>
      <rPr>
        <sz val="9"/>
        <color rgb="FFFD4147"/>
        <rFont val="微软雅黑"/>
        <family val="2"/>
        <charset val="134"/>
      </rPr>
      <t>与HSE相关改造暂停</t>
    </r>
    <r>
      <rPr>
        <sz val="11"/>
        <color theme="1"/>
        <rFont val="等线"/>
        <family val="2"/>
        <scheme val="minor"/>
      </rPr>
      <t>；
1.2.试运行：目前提出问题56项，正在处理；
1.3.SAP集成：与SAP集成的三个简单接口已经切换到正式环境，持续跟踪；
1.4.WMS集成：与WMS（SAP）的报工接口正在瑞恒进行调试，目前发现</t>
    </r>
    <r>
      <rPr>
        <sz val="9"/>
        <color rgb="FFFD4147"/>
        <rFont val="微软雅黑"/>
        <family val="2"/>
        <charset val="134"/>
      </rPr>
      <t>主数据不一致</t>
    </r>
    <r>
      <rPr>
        <sz val="11"/>
        <color theme="1"/>
        <rFont val="等线"/>
        <family val="2"/>
        <scheme val="minor"/>
      </rPr>
      <t>的问题导致报工信息无法与SAP匹配，正在协调MDM进行数据梳理和清洗；
1.5.HSE集成：与HSE的对接正在推进HSE商务合同的签署；
1.6.一体化经营平台取数：已经完成与一体化经营平台的对接（5个接口）；
2.瑞泰实施：
2.1.试运行：所有模块均处于试运行状态；目前提出问题10项，正在处理；
2.2.SAP集成：与SAP集成的三个简单接口已经切换到正式环境，持续跟踪；
2.3.WMS集成：与WMS（SAP）的报工接口正在瑞恒进行调试，目前发现</t>
    </r>
    <r>
      <rPr>
        <sz val="9"/>
        <color rgb="FFFD4147"/>
        <rFont val="微软雅黑"/>
        <family val="2"/>
        <charset val="134"/>
      </rPr>
      <t>主数据不一致</t>
    </r>
    <r>
      <rPr>
        <sz val="11"/>
        <color theme="1"/>
        <rFont val="等线"/>
        <family val="2"/>
        <scheme val="minor"/>
      </rPr>
      <t>的问题导致报工信息无法与SAP匹配，正在协调MDM进行数据梳理和清洗；
2.4.WMS集成：存销日报表数据从WMS抽取，WMS厂商正在评估工作量；
2.5.一卡通集成：一卡通修正数据传MES，一卡通厂商正在评估工作量；
2.6.一体化经营平台取数：已经完成与一体化经营平台的对接（5个接口）；
2.7.仪表异常统计分析新需求霍尼正在评估工作量；</t>
    </r>
  </si>
  <si>
    <r>
      <t>1.瑞祥实施：
1.1.基础设置整改：目前</t>
    </r>
    <r>
      <rPr>
        <sz val="9"/>
        <color rgb="FFFD4147"/>
        <rFont val="微软雅黑"/>
        <family val="2"/>
        <charset val="134"/>
      </rPr>
      <t>与HSE连接PHD采集相关改造暂停</t>
    </r>
    <r>
      <rPr>
        <sz val="11"/>
        <color theme="1"/>
        <rFont val="等线"/>
        <family val="2"/>
        <scheme val="minor"/>
      </rPr>
      <t>；用户需要开通手机APP外网审批及访问MES的需求，已联系顾涛接洽；
1.2.试运行：累计提出62个问题，累计修复47个问题，剩余15个问题，本周新增6个问题，本周修复3个问题；
1.3.WMS集成：与WMS（SAP）的报工接口正在瑞恒进行调试，目前发现</t>
    </r>
    <r>
      <rPr>
        <sz val="9"/>
        <color rgb="FFFD4147"/>
        <rFont val="微软雅黑"/>
        <family val="2"/>
        <charset val="134"/>
      </rPr>
      <t>主数据不一致</t>
    </r>
    <r>
      <rPr>
        <sz val="11"/>
        <color theme="1"/>
        <rFont val="等线"/>
        <family val="2"/>
        <scheme val="minor"/>
      </rPr>
      <t>的问题导致报工信息无法与SAP匹配，正在协调MDM进行数据梳理和清洗；
1.4.HSE集成：与HSE的对接正在推进HSE商务合同的签署；
2.瑞泰实施：
2.1.试运行：累计提出22个问题，累计修复10个问题，剩余12个问题，本周新增7个问题，本周修复5个问题；
2.2.WMS集成：与WMS（SAP）的报工接口初步评估是否存在主数据不一致的问题，确定是否可以优先上线；
2.3.WMS集成：存销日报表数据从WMS抽取，WMS厂商正在评估工作量；
2.4.一卡通集成：一卡通修正数据传MES，一卡通厂商正在评估工作量；
2.5.仪表异常统计分析新需求霍尼正在重新评估工作量；</t>
    </r>
  </si>
  <si>
    <r>
      <t>1.瑞祥实施：
1.1.基础设置整改：目前</t>
    </r>
    <r>
      <rPr>
        <sz val="9"/>
        <color rgb="FFFD4147"/>
        <rFont val="微软雅黑"/>
        <family val="2"/>
        <charset val="134"/>
      </rPr>
      <t>与HSE连接PHD采集相关改造暂停</t>
    </r>
    <r>
      <rPr>
        <sz val="11"/>
        <color theme="1"/>
        <rFont val="等线"/>
        <family val="2"/>
        <scheme val="minor"/>
      </rPr>
      <t>；
1.2.试运行：累计提出71个问题，累计修复57个问题，剩余14个问题，本周新增9个问题，本周修复8个问题；
1.3.WMS集成：与WMS（SAP）的报工接口确定按目前人工的方式录入，与OA保持一致；
1.4.HSE集成：与HSE的对接正在推进HSE商务合同的签署；
2.瑞泰实施：
2.1.试运行：累计提出42个问题，累计修复12个问题，剩余30个问题，本周新增10个问题，本周修复2个问题；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2.5.仪表异常统计分析功能开发，待用户确认；</t>
    </r>
  </si>
  <si>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xml:space="preserve">；
1.2.试运行：累计提出82个问题，累计修复68个问题，剩余14个问题，本周新增11个问题，本周修复11个问题；
1.3.WMS集成：与WMS（SAP）的报工接口确定按目前人工的方式录入，与OA保持一致；
1.4.HSE集成：与HSE的商务合同的签署完成；
</t>
    </r>
    <r>
      <rPr>
        <b/>
        <sz val="9"/>
        <color rgb="FF000000"/>
        <rFont val="微软雅黑"/>
        <family val="2"/>
        <charset val="134"/>
      </rPr>
      <t>2.瑞泰实施：</t>
    </r>
    <r>
      <rPr>
        <sz val="11"/>
        <color theme="1"/>
        <rFont val="等线"/>
        <family val="2"/>
        <scheme val="minor"/>
      </rPr>
      <t xml:space="preserve">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t>
    </r>
  </si>
  <si>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xml:space="preserve">；
1.2.试运行：累计提出83个问题，累计修复69个问题，剩余14个问题，本周新增1个问题，本周修复1个问题；
1.3.WMS集成：完成了初步测试，需要WMS修改变更后再测试；
1.4.HSE集成：HSE厂商正在对接口方案解读；
</t>
    </r>
    <r>
      <rPr>
        <b/>
        <sz val="9"/>
        <color rgb="FF000000"/>
        <rFont val="微软雅黑"/>
        <family val="2"/>
        <charset val="134"/>
      </rPr>
      <t>2.瑞泰实施：</t>
    </r>
    <r>
      <rPr>
        <sz val="11"/>
        <color theme="1"/>
        <rFont val="等线"/>
        <family val="2"/>
        <scheme val="minor"/>
      </rPr>
      <t xml:space="preserve">
2.1.试运行：累计提出107个问题，累计修复34个问题，剩余73个问题，本周新增46个问题，本周修复12个问题；
2.2.WMS集成：计划本周测试；
2.3.WMS集成：存销日报表数据从WMS抽取，WMS厂商正在评估工作量，预计11月底；
2.4.一卡通集成：上周工程师休假，计划本周测试；</t>
    </r>
  </si>
  <si>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xml:space="preserve">；
1.2.试运行：累计提出91个问题，累计修复77个问题，剩余14个问题，本周新增8个问题，本周修复8个问题；
1.3.WMS集成：完成了初步测试；
1.4.HSE集成：HSE厂商正在对接口方案解读，预计12月初启动对接；
</t>
    </r>
    <r>
      <rPr>
        <b/>
        <sz val="9"/>
        <color rgb="FF000000"/>
        <rFont val="微软雅黑"/>
        <family val="2"/>
        <charset val="134"/>
      </rPr>
      <t>2.瑞泰实施：</t>
    </r>
    <r>
      <rPr>
        <sz val="11"/>
        <color theme="1"/>
        <rFont val="等线"/>
        <family val="2"/>
        <scheme val="minor"/>
      </rPr>
      <t xml:space="preserve">
2.1.试运行：累计提出126个问题，累计修复101个问题，剩余25个问题，本周新增19个问题，本周修复67个问题；
2.2.WMS集成：第一次测试完成，WMS有3个问题需要修复；
2.3.WMS集成：存销日报表数据从WMS抽取，WMS厂商正在评估工作量，预计11月底；
2.4.一卡通集成：完成测试并发生了两笔业务，目前正常；</t>
    </r>
  </si>
  <si>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xml:space="preserve">；
1.2.试运行：累计提出141个问题，累计修复110个问题，剩余31个问题，本周新增50个问题，本周修复33个问题；
1.3.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1.4.HSE集成：HSE厂商正在对接口方案解读，预计12月初启动对接；
</t>
    </r>
    <r>
      <rPr>
        <b/>
        <sz val="9"/>
        <color rgb="FF000000"/>
        <rFont val="微软雅黑"/>
        <family val="2"/>
        <charset val="134"/>
      </rPr>
      <t>2.瑞泰实施：</t>
    </r>
    <r>
      <rPr>
        <sz val="11"/>
        <color theme="1"/>
        <rFont val="等线"/>
        <family val="2"/>
        <scheme val="minor"/>
      </rPr>
      <t xml:space="preserve">
2.1.试运行：累计提出134个问题，累计修复102个问题，剩余25个问题，本周新增8个问题，本周修复8个问题；
2.2.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2.3.WMS集成：存销日报表数据从WMS抽取，WMS厂商正在评估工作量，预计11月底；
2.4.一卡通集成：完成测试并发生了两笔业务，目前正常；</t>
    </r>
  </si>
  <si>
    <t>生产运营信息系统统一运维体系建设</t>
  </si>
  <si>
    <t>中间体、河北新材、圣奥</t>
  </si>
  <si>
    <t>霍尼MES工厂运维安排。</t>
  </si>
  <si>
    <t>工厂运维体系讨论（包含河北、圣奥）；</t>
  </si>
  <si>
    <t>统一运维体系讨论；
提交评审。</t>
  </si>
  <si>
    <t>1.统一运维体系讨论和编制；
2.2026年运维外包统筹。</t>
  </si>
  <si>
    <t>1.统一运维体系讨论和编制；
2.2026年运维外包统筹，组建谈判团队。</t>
  </si>
  <si>
    <t>初步讨论了运维流程；</t>
  </si>
  <si>
    <t>运维组织架构定义、运维内容定义，运维流程梳理，分工正在编制，岗位职责正在编制；</t>
  </si>
  <si>
    <t>1.正在收集编制岗位职责；
2.中间体的分工初步编制完成，河北和圣奥的编制正在进行（双智评价工作影响编制进度）；
3.正在收集各企业霍尼系统、产品相关运维需求，目前看仅有圣奥明确反馈有需求，南通星辰由电仪专业归口管理，不在IT口归口；</t>
  </si>
  <si>
    <t>1.已完成运维体系整合初版，计划安排对分工和岗位职责讨论；
2.完成运维外包需求收集：圣奥MES，CPM，河北MES，中化国际AMS有外包需求；中间体、星辰芮城、南通星辰、淮河化工均无运维外包需求；按事业部预算管理要求，运维服务期签到每年的3.31；中化国际的报警管理主服务器运维费用计划采样中化国际主体签署，均摊到各单位；后续组建谈判团队并启动谈判；</t>
  </si>
  <si>
    <t>1.已完成运维体系整合初版，对分工和岗位职责讨论进行了一次内部讨论，确定整合中间体、河北、圣奥的分工；与OA团队和工单系统团队分别讨论运维方案及流程，探讨实现的可行性和落地的系统；
2.完成运维外包需求收集：圣奥MES，CPM，河北MES，中化国际AMS有外包需求；中间体、星辰芮城、南通星辰、淮河化工均无运维外包需求；按事业部预算管理要求，运维服务期签到每年的3.31；中化国际的报警管理主服务器运维费用计划采样中化国际主体签署，均摊到各单位；后续组建谈判团队并启动谈判，请领导指示；</t>
  </si>
  <si>
    <t>霍尼MES优化2026</t>
  </si>
  <si>
    <t>霍尼MES优化统一立项；</t>
  </si>
  <si>
    <t>收集优化需求；</t>
  </si>
  <si>
    <t>收集优化需求；梳理需求</t>
  </si>
  <si>
    <t>收集优化需求，梳理需求；</t>
  </si>
  <si>
    <t>1.收集优化需求；
2.梳理需求;</t>
  </si>
  <si>
    <t>1.完成了瑞恒的优化需求收集，正在整理，关于任务管理的需求，瑞恒用户正在梳理；
2.圣奥目前无优化需求；
3.河北的需求正在收集；</t>
  </si>
  <si>
    <t>1.完成了瑞恒的优化需求收集，正在整理，关于任务管理的需求，完成瑞恒梳理，瑞祥正在梳理中；
2.圣奥目前无优化需求；
3.河北的需求正在收集；</t>
  </si>
  <si>
    <t>1.正在收集鑫宝的优化需求；2.正在收集瑞泰的优化需求；3.瑞恒的工作价值量化需求业务口正在梳理；4.其他暂无需求；</t>
  </si>
  <si>
    <t>1.鑫宝的优化需求已经反馈；
2.正在收集瑞泰的优化需求；
3.瑞恒的工作价值量化需求仓储部已经初步梳理，后续讨论；
4.圣奥暂无需求；</t>
  </si>
  <si>
    <t>1.鑫宝：优化需求已经反馈，待讨论；
2.瑞泰：正在收集优化需求；
3.瑞恒：操作员绩效量化需求，仓储部已经初步梳理，本周对需求进行讨论，识别出瑞恒需要明确的事项，后续瑞恒继续梳理需求；
4.圣奥：暂无需求；
5.讨论确定了中间体三家工厂的重大危险源SIS数据需要从SIS中采集到PHD，由MES与事业部HSE平台作对接，后续对具体需求进行详细调研和估算；</t>
  </si>
  <si>
    <t>中间体设备EPM建设</t>
  </si>
  <si>
    <t>姜丽丽、卢天慧</t>
  </si>
  <si>
    <t>未开始</t>
  </si>
  <si>
    <t>项目准备</t>
  </si>
  <si>
    <t>对接现场调研安排</t>
  </si>
  <si>
    <t>瑞恒现场调研</t>
  </si>
  <si>
    <t>瑞恒现场调研工作开展</t>
  </si>
  <si>
    <t>1、进行瑞祥现场情况调研；
2、分析瑞恒EPM方案(周三容知提供）。
3、沟通瑞泰的EPM需求情况。</t>
  </si>
  <si>
    <t>1、分析瑞恒、瑞祥EPM方案。</t>
  </si>
  <si>
    <t>进行瑞泰现场调研。</t>
  </si>
  <si>
    <t>1、进行中间体三家实施方案的对比与分析；
2、进行中化鑫宝和滏鼎的EPM建设规划分析；
3、明确项目整体计划。</t>
  </si>
  <si>
    <t>1、整合中间体三家整体方案，进行立项材料的编写</t>
  </si>
  <si>
    <t>1、修改中间体三家整体方案，编写需求说明书和立项材料</t>
  </si>
  <si>
    <t>1、更新整体方案，尽快进行各工厂评审。</t>
  </si>
  <si>
    <t xml:space="preserve">1、更新整体方案，进行工厂评审；
</t>
  </si>
  <si>
    <t>1、收集各工厂的评审意见，完善项目预期价值；
2、编写需求说明书、立项报告等内容。</t>
  </si>
  <si>
    <t>1、完善需求说明书，给各工厂进行评审；
2、完善立项报告；
3、完善供应商建议方案与报价，给各工厂进行评审。</t>
  </si>
  <si>
    <t>1、进行立项报告初版的编写，完善预算等内容；
2、根据各工厂的需求完善需求说明书中硬件需求的编写；</t>
  </si>
  <si>
    <t>1、进行瑞祥、瑞恒硬件数量与金额的估算；
2、完善需求说明书与立项报告；
3、考虑扬农集团总部提出的培养公司内部诊断工程师的想法</t>
  </si>
  <si>
    <r>
      <t xml:space="preserve">1、完成瑞恒在线监测设备清单的收集；
2、完成费用评估；
3、完善立项报告。
</t>
    </r>
    <r>
      <rPr>
        <sz val="9"/>
        <color rgb="FFFD4147"/>
        <rFont val="微软雅黑"/>
        <family val="2"/>
        <charset val="134"/>
      </rPr>
      <t>周三必须提交初版。</t>
    </r>
  </si>
  <si>
    <t>1、针对立项报告预审的意见进行跟进；
2、根据总部的要求对硬件数量进行缩减；
3、完善立项报告再次提交；</t>
  </si>
  <si>
    <t>1、针对再次提交预审后的意见进行修改。
2、针对扬农总部提出有线采集站和无线采集站的区别做技术说明。</t>
  </si>
  <si>
    <t>1、针对不同采购方式的优缺点进行开会讨论；</t>
  </si>
  <si>
    <t xml:space="preserve">1、细化工作计划，对待确认事项进行讨论并确定；
2、完善需求说明书。
</t>
  </si>
  <si>
    <t>1、开会讨论需求说明书；</t>
  </si>
  <si>
    <t>1、组织供应商进行现场调研；
2、考虑尽快立项</t>
  </si>
  <si>
    <t>1、组织供应商在瑞祥进行调研；
2、修改完善立项报告。</t>
  </si>
  <si>
    <t>1、组织供应商在瑞恒进行调研；
2、根据瑞祥的技术方案进行需求说明书的编写；
3、进行立项报告的修改。</t>
  </si>
  <si>
    <t xml:space="preserve">1、组织供应商在瑞泰进行调研；
</t>
  </si>
  <si>
    <t>1、整合调研成果。</t>
  </si>
  <si>
    <t>1、进行方案对比，编写需求说明书。</t>
  </si>
  <si>
    <t>1、供应商进瑞恒调研（周四）；
2、完善调研对比表；
2、编写需求说明书（周四）；</t>
  </si>
  <si>
    <t>1、进行第五家供应商在瑞祥、瑞泰的调研；
2、进行容知供应商在瑞恒的再次调研（没有电压信号的设备）；
3、进行需求说明书的完善；
4、明确看护服务模式及数据访问方式；
5、沟通采购方式。</t>
  </si>
  <si>
    <t>与中间体事业部、瑞恒、容知对接现场调研计划。</t>
  </si>
  <si>
    <t>对接瑞恒现场，安排供应商进厂开展调研工作。</t>
  </si>
  <si>
    <t>瑞恒现场情况调研，供应商制定初步方案。</t>
  </si>
  <si>
    <t xml:space="preserve">1、进行瑞祥现场情况调研；
</t>
  </si>
  <si>
    <t>进行EPM项目立项材料的准备。
对比iEAM版与SuperCare IOM版产品。为中化滏恒EPM需求做分析。</t>
  </si>
  <si>
    <t>1、完成瑞泰现场调研
2、与供应商开展IEAM与IOM产品对比的会议，为中化鑫宝和滏鼎的EPM建设规划做准备分析。</t>
  </si>
  <si>
    <t xml:space="preserve">1、整理并整合中间体三家整体方案（瑞泰的方案还未收到）；
2、开展立项材料的编写；
</t>
  </si>
  <si>
    <t>1、整合中间体三家方案并进行内部评审给出修改意见。</t>
  </si>
  <si>
    <t>1、更新整体方案，进行内部二次评审；</t>
  </si>
  <si>
    <t>1、进行整体方案的二次评审；</t>
  </si>
  <si>
    <t xml:space="preserve">1、更新建议方案，给各工厂进行评审；
2、编写需求说明书。
</t>
  </si>
  <si>
    <t>1、完善需求说明书、立项报告（进行中）
2、完善供应商建议方案（进行中）</t>
  </si>
  <si>
    <t>1、根据各工厂的评审意见修改并完善需求说明书；
2、编写并完善立项报告；</t>
  </si>
  <si>
    <t>1、完成瑞泰公司硬件数量需求与金额的初步估算；
2、完善需求说明书，根据总部、各工厂提出的建议进行修改，针对总部提出的问题进行解答；
3、复查各工厂的前期EAM立项材料，确认有预测性维护的相关需求，并进行预算与已用预算的统计。</t>
  </si>
  <si>
    <t xml:space="preserve">1、完成瑞祥在线监测设备清单的收集；
2、安排供应商前往瑞恒工厂进行新增大机组、机泵的调研；
</t>
  </si>
  <si>
    <t>1、完成立项报告预审；
2、针对立项报告预审的意见进行跟进；
3、完善需求说明书。</t>
  </si>
  <si>
    <t>1、根据扬农集团总部要求对硬件数量进行缩减后再次提交预审；
2、针对立项报告预审的意见进行回复；</t>
  </si>
  <si>
    <t xml:space="preserve">1、针对不同采购方式的优缺点进行讨论并整理；
2、完成有限采集站与无线采集站区别的技术说明；
</t>
  </si>
  <si>
    <t>1、针对招标的采购方式制定工作计划（进行中）；
2、修改需求说明书（进行中）</t>
  </si>
  <si>
    <t>和用户讨论完善需求说明书，</t>
  </si>
  <si>
    <t>1、开会讨论需求说明书，梳理需要修改的事项；
2、完善需调研的设备清单；</t>
  </si>
  <si>
    <t>1、协调组织供应商在三家工厂进行调研；
2、与业务沟通项目立项报告并进行修改完善，已提交预审。</t>
  </si>
  <si>
    <t>1、完成三家供应商在瑞祥的调研；
2、进行立项报告的修改。</t>
  </si>
  <si>
    <t>1、完成三家供应商在瑞恒的调研；
2、收集瑞祥、瑞恒提供的设备清单每年的维修费用；
3、目前收到部分供应商提供的瑞祥工厂技术方案</t>
  </si>
  <si>
    <t xml:space="preserve">1、完成三家供应商在瑞泰的调研工作；
</t>
  </si>
  <si>
    <t xml:space="preserve">1、整理供应商对比表；
</t>
  </si>
  <si>
    <t xml:space="preserve">1、完成调研供应商对比表整理；
</t>
  </si>
  <si>
    <t>1、完成需求说明书初版；
2、完成第五家供应商供应商在瑞恒的调研，系统介绍，现场勘察，目前对于无电流信号的大机组是否支持看护需要下周反馈回来
3、中化仓储线上交流，初步了解了内部使用情况</t>
  </si>
  <si>
    <t>姚晓龙</t>
  </si>
  <si>
    <r>
      <rPr>
        <b/>
        <sz val="9"/>
        <color rgb="FFFF0000"/>
        <rFont val="微软雅黑"/>
        <family val="2"/>
        <charset val="134"/>
      </rPr>
      <t>结合2025年ERP升级项目对接可能的变化。</t>
    </r>
    <r>
      <rPr>
        <sz val="11"/>
        <color theme="1"/>
        <rFont val="等线"/>
        <family val="2"/>
        <scheme val="minor"/>
      </rPr>
      <t xml:space="preserve">
</t>
    </r>
    <r>
      <rPr>
        <b/>
        <sz val="9"/>
        <color rgb="FFFF0000"/>
        <rFont val="微软雅黑"/>
        <family val="2"/>
        <charset val="134"/>
      </rPr>
      <t>关注运维管理的各家需求和数据兼容性。</t>
    </r>
  </si>
  <si>
    <r>
      <rPr>
        <sz val="9"/>
        <color rgb="FF2F5597"/>
        <rFont val="微软雅黑"/>
        <family val="2"/>
      </rPr>
      <t xml:space="preserve">1、蓝图PPT汇报&amp;《业务蓝图差异确认书》签署_x000D_
2、瑞恒WMS工单编写_x000D_
3、MES接口字段确认_x000D_
4、EAM接口字段确认_x000D_
5、一卡通接口确认_x000D_
</t>
    </r>
    <r>
      <rPr>
        <b/>
        <sz val="9"/>
        <color rgb="FF2F5597"/>
        <rFont val="微软雅黑"/>
        <family val="2"/>
        <charset val="134"/>
      </rPr>
      <t>☆☆☆☆☆持续重点跟踪的事件：</t>
    </r>
    <r>
      <rPr>
        <sz val="9"/>
        <color rgb="FF2F5597"/>
        <rFont val="微软雅黑"/>
        <family val="2"/>
      </rPr>
      <t xml:space="preserve">
1：辅材采购业务集团要求全部需进SRM，瑞恒目前存在有部分物资未进SRM，需确认是否已沟通好全部进SRM;_x000D__x000D_2：易制毒易制爆物资进出厂管控需确认最终是否在一卡通进行管控；_x000D__x000D_3：瑞恒仓库网络覆盖需确认在WMS系统上线前（2025年2月28日）能否实现；_x000D__x000D_4：WMS与立体库、LIMS、一卡通、OA、SAP接口字段对接需瑞恒本周与各个厂商沟通并确认接口字段对接时间以及后续推开发测试推进计划。_x000D_</t>
    </r>
  </si>
  <si>
    <t xml:space="preserve">1、《业务蓝图差异确认书》签署
2、瑞恒WMS工单开发讲解
3、WCS、LIMS、OA、SAP、一卡通接口字段确认
</t>
  </si>
  <si>
    <t xml:space="preserve">1、WCS接口、SAP接口、MES/EAM报文格式确认
2、一卡通&amp;WMS测试联调
3、PDA功能测试
4、制定开发计划（基于蓝图差异进行工单开发）
5、确认备品备件仓条码格式及现场实物粘贴位置
</t>
  </si>
  <si>
    <t xml:space="preserve">1、WCS与包装机对接方案及WCS与WMS对接WCS方开发测试计划制定
2、排程各对接系统开发测试计划制定
3、PDA功能需优化项进行开发讲解
4、基于蓝图差异开发进行工单开发
5、制定WMS顾问内测计划
</t>
  </si>
  <si>
    <t>1、完成WCS与包装机对接方案及WCS与WMS对接WCS方开发测试计划制定
2、完成EAM&amp;WMS对接EAM方开发测试计划制定
3、MES&amp;WMS接口开发
4、SAP&amp;WMS接口开发
5、完成一卡通&amp;WMS测试环境地址对接配置
6、PDA功能开发及内测
7、测试脚本编写
8、静态数据收集模板整理</t>
  </si>
  <si>
    <t>1、EAM&amp;WMS接口开发及联调
2、 MES&amp;WMS接口开发
3、SAP&amp;WMS接口开发
4、LIMS&amp;WMS接口测试
5、 PDA功能开发及内测
6、测试数据准备
7、静态数据收集（仓库、库位码编制、成本中心、包装物、包装规格、检验指标）
8、采购收退货、销售出库退货、理货、调拨、转储、其他出入、盘点业务功能测试</t>
  </si>
  <si>
    <t>1、EAM&amp;WMS接口开发进行中，EAM方1月21日开发完毕并开始联调；_x000D_2、MES&amp;WMS接口开发进行中，MES方年前完成开发，年后开始联调测试；_x000D_3、SAP&amp;WMS接口开发已完成，目前正在联调测试；_x000D_4、LIMS&amp;WMS接口测试 进行中；_x000D_5、PDA功能开发及内测 进行中；_x000D_6、测试数据准备 已完成；_x000D_7、静态数据收集（仓库、库位码编制、成本中心、包装物、包装规格、检验指标） 进行中_x000D_8、采购收退货、生产入库、原料核销、销售出库退货、理货、调拨、转储、其他出入、盘点业务功能测试 进行中</t>
  </si>
  <si>
    <t>1 EAM&amp;WMS接口联调测试 
_x000D_2 MES&amp;WMS接口开发跟进 
_x000D_3 静态数据收集（库位编码编制） 
_x000D_4 测试过程中优化项处理（10项） 
_x000D_5 501预留收货一卡通自建运单采购收货外租库销售出库一卡通自建销售出库测试 
_x000D_6 PDA盘点功能测试 _x000D_</t>
  </si>
  <si>
    <t>1、组织用户进行单元测试及培训
2、继续完成MES接口开发
3、部分业务接口数据微调</t>
  </si>
  <si>
    <r>
      <t xml:space="preserve">1、用户测试
2、MES&amp;WMS接口联调
</t>
    </r>
    <r>
      <rPr>
        <sz val="9"/>
        <color rgb="FFFF0000"/>
        <rFont val="微软雅黑"/>
        <family val="2"/>
      </rPr>
      <t>瑞祥WMS建设项目前期工作</t>
    </r>
  </si>
  <si>
    <t>1、还原生产环境后顾问整体业务流程操作测试验证（PDA&amp;瑞泰销售出库）
_x000D_2、采购业务流程实操演练（生产环境拷贝到测试环境中）
_x000D_3、生产业务流程实操演练（生产环境拷贝到测试环境中）
_x000D_4 、库内&amp;销售业务流程实操演练（生产环境拷贝到测试环境中）
_x000D_5、 顾问整体业务流程测试（根据用户反馈的系统问题表，对BUG类问题逐项进行最后验证）
_x000D_6、生产环境静态数据维护
_x000D_7、SAP生产环境物料主数据同步WMS（瑞恒） _x000D_</t>
  </si>
  <si>
    <t>1、28日系统上线切换
2、上线前静态数据准备
3、功能最后检查
4、动态数据切换</t>
  </si>
  <si>
    <r>
      <t>1、跟进关账期间各项业务数据补录（重点跟进销售、生产）
2、跟进</t>
    </r>
    <r>
      <rPr>
        <sz val="9"/>
        <color rgb="FFFD4147"/>
        <rFont val="微软雅黑"/>
        <family val="2"/>
      </rPr>
      <t>流量卡</t>
    </r>
    <r>
      <rPr>
        <sz val="11"/>
        <color rgb="FF000000"/>
        <rFont val="微软雅黑"/>
        <family val="2"/>
      </rPr>
      <t xml:space="preserve">、货位标签纸采购
3、跟进MES、EAM方生产环境接口地址配置（WMS生产环境已部署完毕）
4、现场协助一线用户各项业务开展
5、处理上线期间用户反馈优化项 </t>
    </r>
  </si>
  <si>
    <t xml:space="preserve">1、周三进行项目上线后第一次总结会
2、重点关注生产领料数据统计和同步
3、系统上线后10个系统优化问题处理
</t>
  </si>
  <si>
    <t>1、PDA扫码作业现场支持
2、SOW交付整理和知识转移</t>
  </si>
  <si>
    <t>1、支持月结及问题排查
2、瑞恒WMS团队撤场准备及交付转线上运维支持。
4月转为跟踪瑞祥。</t>
  </si>
  <si>
    <t>1、瑞恒WMS线上运维，MES&amp;EAM与WMS集成业务跟踪
2、瑞祥WMS前期沟通（立项、需求、流程等事务沟通）</t>
  </si>
  <si>
    <t>1、WMS实施团队撤场及交接，暂时预留一人驻场，提供业务支持。处理WMS&amp;物流一卡通接口优化（字段补充及控制）
2、瑞祥WMS前期沟通（立项、需求、流程等事务沟通）</t>
  </si>
  <si>
    <t>1、瑞恒WMS项目现场验收并完成上线款支付发起。
2、准备瑞祥WMS项目初期调研工作。</t>
  </si>
  <si>
    <t xml:space="preserve">1、瑞恒WMS正式转线上运维
2、瑞祥WMS项目调研
</t>
  </si>
  <si>
    <t>1、瑞祥WMS项目业务现场调研</t>
  </si>
  <si>
    <t>1、瑞祥WMS属地立项材料</t>
  </si>
  <si>
    <t>1、组织瑞祥仓储&amp;集团储运部团队赴瑞恒仓储调研WMS系统</t>
  </si>
  <si>
    <t>1、瑞祥仓储&amp;集团储运部团队赴瑞恒仓储调研WMS系统</t>
  </si>
  <si>
    <t>1、WMS服务器迁移方案评定
2、拟定商务合同</t>
  </si>
  <si>
    <t>1、SOW需求说明书初审
2、商务合同部分的汇报及下来的商务谈判
3、WMS服务器迁移，本次无需考虑信创要求。
4、三个工厂的罐存数据分析需求沟通。</t>
  </si>
  <si>
    <t>1、组织SOW需求评审（含业务部门）
2、提交迁移方案给事业部评估（请马总协调顾涛总），其中有申请服务器资源需求，结合这部分费用和供应商的费用，总体评估出这次迁移的总体费用。
3、发起合同审批流程。</t>
  </si>
  <si>
    <t>1、项目商务谈判（含推广费用+新增需求费用）
2、合同提交法务预审
3、项目启动事项准备</t>
  </si>
  <si>
    <t>1、完成商务议价
2、合同签订
3、项目启动事项准备</t>
  </si>
  <si>
    <t>1、合同签订
2、项目启动准备</t>
  </si>
  <si>
    <t>1、项目启动
2、需求调研</t>
  </si>
  <si>
    <t>1、项目启动（周五）
2、需求调研</t>
  </si>
  <si>
    <t>1、项目启动（周四）
2、需求调研</t>
  </si>
  <si>
    <t>1、采购收退货、生产入库、领料、原料核销、库内管理（理货、转储、调拨、盘点）、销售出库、退货业务流程系统培训（含PDA演示）。
2、仓库基本信息、物料基本信息、条码基本信息、手持终端管理业务调研
3、原材料相关业务流程调研
4、辅材、备品件相关业务流程调研
5、半成品、成品相关业务流程调研
6、WMS项目启动大会</t>
  </si>
  <si>
    <t xml:space="preserve">1 、报表需求调研 
2 、专项解决方案制定 
3 、专项讨论（辅材物资订单收货、工程物资、报损报溢SAP对接） 
4 、WORD版本蓝图梳理编制 
5 、瑞祥本次WMS项目优化清单确认 
</t>
  </si>
  <si>
    <t>1 、瑞祥新增需求增补合同确认 
2 、采购订单推送WMS，推送机制确认 
3 、SAP凭证传WMS存在重复二次传递情况，跟进SAP侧开发进度 
4 、蓝图PPT制作 
5 、蓝图汇报及确认</t>
  </si>
  <si>
    <t>1、出入库单据打印样式确认。
2、采购收退货、生产领退料、库内管理、销售出库退库工单开发讲解。
3、开发计划制定。
4、跟进推广增加合同签署。
5、一卡通、SAP、MES、EAM、LIMS、OA测试环境确认。</t>
  </si>
  <si>
    <t>1、测试环境静态数据收集（仓库、库位、物料、工作组、批次规则、批属性等）
2、一卡通、SAP、MES、EAM、LIMS、OA测试环境确认。
3、库位编码规则确认
4、瑞祥测试环境搭建
5、系统功能开发（到货验收单、采购入库单、生产订单、生产入库单）</t>
  </si>
  <si>
    <t xml:space="preserve">1、测试环境物料信息推送（SAP-&gt;WMS）
2、测试环境物料批次规则属性、批次特征分类，物料分配批次特征，包装物包装规则维护
3、系统单元测试（到货验收单（含PDA）、采购入库单（含PDA）、生产订单、生产入库单 测试范围包含瑞泰、瑞恒、瑞祥）
4、系统功能开发（副产品入库、生产领料、物资领用出、退库、销售出库、物料信息）
</t>
  </si>
  <si>
    <t>1、系统单元测试（销售出库单、销售退货单、调拨外仓， 测试范围包含瑞泰、瑞恒、瑞祥）
2、系统单元测试（物资领用出库、物资领用退库、非SAP物资出库， 测试范围包含瑞泰、瑞恒、瑞祥）
3、一卡通不过磅物资运单推送WMS功能改造确认
4、PDA测试（入库作业（到货点收、入库上架、物资退回）、物资领用、库存查询、库内理货、转储、库存计数（盘点）测试范围包含瑞恒、瑞祥）
5、采购、生产、销售、库内四大业务线贯穿测试（测试范围包含瑞泰、瑞恒、瑞祥）
6、***瑞祥WMS功能增补需求评审***</t>
  </si>
  <si>
    <t>1、WMS系统功能演示
2、用户操作系统单模块测试（测试功能范围：原料物资出入库相关业务）
3、用户操作系统单模块测试（测试功能范围：辅材物资出入库相关业务）
4、用户操作系统单模块测试（测试功能范围：成品物资出入库相关业务）
5、用户操作系统全业务流程贯穿测试
6、***瑞祥WMS功能增补需求评审***（进行中）</t>
  </si>
  <si>
    <t>1、静态数据收集模板整理（库存地点、库位、成本中心、工作组、物料仓库、用户&amp;权限、成品批属性、包装物、包装规则、启用包装物的物料清单 ）。
2、静态数据收集模板填写要求讲解。
3、UAT测试脚本编写。
4、备品件一卡通自动推送运单跟进。
5、MES方生产入库及原料核销系统开发进度跟进。</t>
  </si>
  <si>
    <t>1、备品件一卡通自动推送运单跟进。（进行中）
2、MES方生产入库及原料核销系统开发进度跟进。（进行中）</t>
  </si>
  <si>
    <t>1、组织用户UAT测试事前准备</t>
  </si>
  <si>
    <t>1、UAT测试
2、MES接口讨论（液位计计量数据传WMS；WMS业务销售出库和生产入库数据传MES）</t>
  </si>
  <si>
    <t>1、上线切换前准备
2、外围系统对接WMS检查</t>
  </si>
  <si>
    <t>1、WMS系统切换部署
2、期初库存导入
3、SAP、一卡通、OA、LIMS、EAM、MES生产环境接口切换
4、WMS切换后首单验证
5、WMS系统上线支持</t>
  </si>
  <si>
    <t>1、WMS系统上线支持，部分业务优化调整
2、开始增补需求采购工作</t>
  </si>
  <si>
    <t>1、WMS系统上线支持，部分业务优化调整
2、增补需求的单一来源采购评审</t>
  </si>
  <si>
    <t>1、WMS系统上线支持，部分业务优化调整
2、增补需求的直接采购评审</t>
  </si>
  <si>
    <t>1、WMS系统上线支持，部分业务优化调整。
2、准备增补需求的商务谈判工作</t>
  </si>
  <si>
    <t>1、处理上线问题清单中未关闭项
2、完成WMS项目验收报告签署
3、增补需求采购的商务谈判</t>
  </si>
  <si>
    <t xml:space="preserve">1、完成蓝图PPT汇报
&amp;《业务蓝图差异确认书》签署（剩下生产部待确认）
2、瑞恒WMS工单编写（进行中）
3、完成MES接口字段确认&amp;EAM接口字段确认
</t>
  </si>
  <si>
    <t>1、完成《业务蓝图差异确认书》签署
2、完成瑞恒WMS工单开发讲解
3、完成WCS、LIMS、OA、SAP、一卡通接口字段确认</t>
  </si>
  <si>
    <t>完成：
1、WCS接口、SAP接口、MES/EAM报文格式确认
2、一卡通&amp;WMS测试联调
3、PDA功能测试
4、制定开发计划（基于蓝图差异进行工单开发）
5、确认备品备件仓条码格式及现场实物粘贴位置</t>
  </si>
  <si>
    <t>完成：
1、完成WCS与包装机对接方案及WCS与WMS对接WCS方开发测试计划制定
2、完成MES&amp;WMS对接MES方开发测试计划制定
3、完成EAM&amp;WMS对接EAM方开发测试计划制定
4、完成SAP&amp;WMS对接SAP方开发测试计划制定
5、完成一卡通&amp;WMS测试环境地址对接配置
6、PDA功能需优化项进行开发讲解
问题及风险：
1、WCS方反馈在1月15日前无法完成开发工作，需3月份后才能进行开发联调工作，需协调能够按照项目原有计划推进，否则将会影响WMS项目3月1日正常上线。
2、EAM方反馈目前尚未接到商务通知，需接到商务通知后才能进行开发，需协调能够按照项目原有计划推进，否则将会影响WMS项目3月1日正常上线。</t>
  </si>
  <si>
    <r>
      <t xml:space="preserve">1、WCS与包装机对接方案及WCS与WMS对接WCS方开发测试计划制定（进行中） 
2 、EAM&amp;WMS接口开发及联调 （进行中）
3、 MES&amp;WMS接口开发（进行中）
4 、SAP&amp;WMS接口开发（进行中）
5、一卡通&amp;WMS测试环境地址对接配置（已完成）
6 、PDA功能开发及内测（进行中）
7、 测试脚本编写（已完成）
8 、静态数据收集模板整理（已完成）_x000D_
----------------------------------------------------------
</t>
    </r>
    <r>
      <rPr>
        <sz val="9"/>
        <color rgb="FF00D09B"/>
        <rFont val="微软雅黑"/>
        <family val="2"/>
      </rPr>
      <t>1.6-1.10总结：</t>
    </r>
    <r>
      <rPr>
        <sz val="11"/>
        <color rgb="FF000000"/>
        <rFont val="微软雅黑"/>
        <family val="2"/>
      </rPr>
      <t xml:space="preserve">
1、EAM&amp;WMS接口开发进行中，EAM方1月21日开发完毕并开始联调；_x000D_2、MES&amp;WMS接口开发进行中，MES方年前完成开发，年后开始联调测试；_x000D_3、SAP&amp;WMS接口开发已完成，目前正在联调测试；_x000D_4、LIMS&amp;WMS接口测试 进行中；_x000D_5、PDA功能开发及内测 进行中；_x000D_6、测试数据准备 已完成；_x000D_7、静态数据收集（仓库、库位码编制、成本中心、包装物、包装规格、检验指标） 进行中_x000D_8、采购收退货、生产入库、原料核销、销售出库退货、理货、调拨、转储、其他出入、盘点业务功能测试 进行中
</t>
    </r>
    <r>
      <rPr>
        <sz val="9"/>
        <color rgb="FFFDC82F"/>
        <rFont val="微软雅黑"/>
        <family val="2"/>
      </rPr>
      <t>1.13-1.20计划：</t>
    </r>
    <r>
      <rPr>
        <sz val="11"/>
        <color rgb="FF000000"/>
        <rFont val="微软雅黑"/>
        <family val="2"/>
      </rPr>
      <t xml:space="preserve">
1、EAM&amp;WMS接口开发 _x000D_2 、MES&amp;WMS接口开发 _x000D_3、SAP&amp;WMS接口联调测试（原料核销） _x000D_4、LIMS&amp;WMS接口联调测试 _x000D_5、PDA功能开发及内测 _x000D_6、静态数据收集（仓库、库位码编制、成本中心、包装物、包装规格、检验指标） _x000D_7、采购收退货、生产入库、原料核销、销售出库退货、理货、调拨、转储、其他出入、盘点业务功能测试 _x000D_8、打印机、辅材仓标签粘贴卡、标签纸购买 _x000D__x000D_
</t>
    </r>
  </si>
  <si>
    <t>1、EAM&amp;WMS接口开发  已完成_x000D_
2、MES&amp;WMS接口开发 进行中_x000D_
3、SAP&amp;WMS接口联调测试（原料核销）已完成 _x000D_4、LIMS&amp;WMS接口联调测试 已完成 _x000D_5、PDA功能开发及内测 已完成 _x000D_6、静态数据收集（仓库、库位码编制、成本中心、包装物、包装规格、检验指标）进行中 _x000D_
7、采购收退货、生产入库、原料核销、销售出库退货、理货、调拨、转储、其他出入、盘点业务功能测试 完成90%_x000D_8、打印机、辅材仓标签粘贴卡、标签纸购买 进行中_x000D_</t>
  </si>
  <si>
    <r>
      <rPr>
        <b/>
        <sz val="9"/>
        <color rgb="FF000000"/>
        <rFont val="微软雅黑"/>
        <family val="2"/>
      </rPr>
      <t>瑞恒WMS：</t>
    </r>
    <r>
      <rPr>
        <sz val="11"/>
        <color rgb="FF000000"/>
        <rFont val="微软雅黑"/>
        <family val="2"/>
      </rPr>
      <t xml:space="preserve">
1、EAM&amp;WMS接口联调测试（已完成）
2、MES&amp;WMS接口联调测试（已完成）
3、采购业务流程UAT培训测试（已完成）
4、生产业务流程UAT培训测试（已完成）
5、库内&amp;销售业务流程UAT培训测试（已完成）
6、用户权限收集（已完成）
7、生产环境还原测试环境及静态动态数据导入（已完成）
8、还原生产环境后顾问整体业务流程操作测试验证 （进行中）
</t>
    </r>
    <r>
      <rPr>
        <b/>
        <sz val="9"/>
        <color rgb="FF000000"/>
        <rFont val="微软雅黑"/>
        <family val="2"/>
      </rPr>
      <t>瑞祥WMS：</t>
    </r>
    <r>
      <rPr>
        <sz val="11"/>
        <color rgb="FF000000"/>
        <rFont val="微软雅黑"/>
        <family val="2"/>
      </rPr>
      <t xml:space="preserve">
为保证瑞恒WMS3月初上线试运行，计划3月中旬开始调研瑞祥WMS需求</t>
    </r>
  </si>
  <si>
    <t>1、完成28日系统上线切换
2、完成上线前静态数据准备
3、完成分功能最后检查
4、完成动态数据切换
----------------------------
截止到3.2系统数据：
1、采购到货验收单数量62,完成单据量12
2、采购入库单数量174，完成单据量174
3、物资领用出库92，完成90
4、销售出库单据量1350，完成71
其他数据本周陆续统计</t>
  </si>
  <si>
    <r>
      <t>1、跟进关账期间各项业务数据补录（重点跟进销售、生产）
2、跟进</t>
    </r>
    <r>
      <rPr>
        <sz val="9"/>
        <color rgb="FF4696FB"/>
        <rFont val="微软雅黑"/>
        <family val="2"/>
      </rPr>
      <t>流量卡</t>
    </r>
    <r>
      <rPr>
        <sz val="11"/>
        <color rgb="FF000000"/>
        <rFont val="微软雅黑"/>
        <family val="2"/>
      </rPr>
      <t>、货位标签纸采购
3、跟进MES、EAM方生产环境接口地址配置（WMS生产环境已部署完毕）
4、现场协助一线用户各项业务开展
5、处理上线期间用户反馈优化项 
---------------------------------
截止到3.7系统数据：
1、采购到货验收单数量299,完成单据量188
2、采购入库单数量738，完成单据量736
3、物资领用出库280，完成251
4、销售出库单据量2796，完成1766
5、生产订单数量31，生产入库单据量50
6、副产品入库22，完成单据量22；
7、转储及库内理货7，完成单据量7</t>
    </r>
  </si>
  <si>
    <t>1、周三进行项目上线后第一次总结会，签署上线功能确认书
2、重点关注生产领料数据统计和同步
3、系统上线后18个系统优化问题处理已完成，同时优化瑞泰提出的8个系统操作和报表类问题
4、系统90%功能正常启用，未发生的业务主要集中在生产退料和报废出库。采购管理、生产管理、销售管理、库内管理及其他出库入库业务管理涉及18个模块业务正常运行中</t>
  </si>
  <si>
    <t>1、完成5G网-PDA扫码作业培训支持
2、完成SOW交付整理和知识转移</t>
  </si>
  <si>
    <t xml:space="preserve">1、支持月结及问题排查
2、瑞恒WMS团队撤场准备及交付转线上运维支持。
3、SOW交付物交接
</t>
  </si>
  <si>
    <t>1、完成WMS&amp;EAM对接上线（物资领用业务）
2、瑞祥WMS前期沟通（立项、需求、流程等事务沟通）</t>
  </si>
  <si>
    <t>1、瑞恒WMS项目验收事前检查和确认
2、瑞祥WMS项目启动事前准备</t>
  </si>
  <si>
    <t>1、完成瑞恒WMS项目准备阶段、业务蓝图设计、系统实现、上线准备及上线支持各阶段的验收交付材料及知识转移，签订验收报告和验收备忘（约定配合MES对接）
2、瑞祥调研沟通（准备中），争取月底完成立项之前的现场调研工作。</t>
  </si>
  <si>
    <t xml:space="preserve">1、瑞恒WMS线上运维，验收评估及项目总结
2、安排瑞祥WMS项目调研行程（本周二现场调研）
</t>
  </si>
  <si>
    <t>1、完成瑞祥WMS需求调研，基于瑞恒业务蓝图梳理差异。
2、准备瑞祥WMS属地立项材料（进行中）</t>
  </si>
  <si>
    <t>1、完成瑞祥WMS属地立项材料，待经办会汇报</t>
  </si>
  <si>
    <t>1、初步拟定瑞祥WMS无人值守业务场景方案（待业务讨论）
2、评估WMS服务器迁移方案
3、瑞祥WMS项目属地立项中</t>
  </si>
  <si>
    <t>1、组织瑞祥仓储&amp;集团储运部团队赴瑞恒仓储完成调研工作，梳理部分新需求（比如月盘点报表、集团储运部数据驾驶舱等）
2、完成属地WMS立项（经办会审批通过）
3、WMS服务器迁移方案评定</t>
  </si>
  <si>
    <t>1、WMS服务器迁移方案修订中（缺失数据打包的迁移的风险评估、新系统配置调整和测试的内容），本周再次完善。
2、商务合同的附件，即SOW需求说明书完善中。
3、业务部门新增部分需求（如MES对接各类罐区实时数据），评估后决定放在瑞祥WMS中实现。</t>
  </si>
  <si>
    <t>1、完成SOW需求说明书初审
2、商务合同部分的汇报及下来的商务谈判
3、完成WMS服务器迁移初审。
4、三个工厂的罐存数据分析需求沟通（需求以提交至瑞祥MES项目组）。</t>
  </si>
  <si>
    <t xml:space="preserve">1、完成SOW需求评审（含业务部门）
2、根据顾涛总提供的资源报价汇总评估此次迁移整体费用（进行中）
</t>
  </si>
  <si>
    <t>1、项目商务谈判（完成价格初步报价）
2、合同提交法务预审
3、项目启动事项准备
4、采购需求流程发起</t>
  </si>
  <si>
    <t>1、推广合同的预审通过；
2、合同签订（准备中）。备注：经过和采购部的沟通，属于项目推广的范畴内容的部分，合同商务价格基于原先招标价格，可以直接签订。由于本次项目有额外新增需求，暂评估需要15万元，是否新增增补协议，这部分待商讨。
3、项目启动事项（准备中）</t>
  </si>
  <si>
    <t>1、合同签订（签订中）</t>
  </si>
  <si>
    <t>1、合同流程审批结束，待盖章
2、项目启动准备（计划7.18项目启动）</t>
  </si>
  <si>
    <t>1、由于供应商合同寄出时间滞后导致盖章滞后，现已完成商务合同。（本周项目团队入场，项目启动）
2、瑞祥MES项目新增的需求提前给至业务确认</t>
  </si>
  <si>
    <t>1、项目工作正常开展，启动会时间待定（由于瑞祥本周有三天安全检查，启动会需跟领导协调好后发邮件正式通知各位领导）
2、项目主计划、调研计划编制；
3、主计划、调研计划、项目组织架构确认；
4、项目启动会PPT编制；
5、WMS测试环境系统演示数据准备。</t>
  </si>
  <si>
    <t xml:space="preserve">1、 完成采购收退货、生产入库、领料、原料核销、库内管理（理货、转储、调拨、盘点）、销售出库、退货业务流程系统培训（含PDA演示）。 
2 、完成仓库基本信息、物料基本信息、条码基本信息、手持终端管理业务调研 
3、 完成原材料相关业务流程调研 
4 、完成辅材、备品件相关业务流程调研 
5 、完成WMS项目启动大会 
6 、半成品、成品相关业务流程调研 （进行中）
</t>
  </si>
  <si>
    <r>
      <t xml:space="preserve">1 、报表需求调研 </t>
    </r>
    <r>
      <rPr>
        <sz val="9"/>
        <color rgb="FF009B74"/>
        <rFont val="微软雅黑"/>
        <family val="2"/>
        <charset val="134"/>
      </rPr>
      <t>（已完成）</t>
    </r>
    <r>
      <rPr>
        <sz val="11"/>
        <color theme="1"/>
        <rFont val="等线"/>
        <family val="2"/>
        <scheme val="minor"/>
      </rPr>
      <t xml:space="preserve">
2 、专项解决方案PPT编写 </t>
    </r>
    <r>
      <rPr>
        <sz val="9"/>
        <color rgb="FF009B74"/>
        <rFont val="微软雅黑"/>
        <family val="2"/>
        <charset val="134"/>
      </rPr>
      <t>（已完成）</t>
    </r>
    <r>
      <rPr>
        <sz val="11"/>
        <color theme="1"/>
        <rFont val="等线"/>
        <family val="2"/>
        <scheme val="minor"/>
      </rPr>
      <t xml:space="preserve">
3 、专项讨论（辅材物资订单收货、工程物资、报损报溢SAP对接及瑞祥新增需求汇总清单）</t>
    </r>
    <r>
      <rPr>
        <sz val="9"/>
        <color rgb="FFFF0000"/>
        <rFont val="微软雅黑"/>
        <family val="2"/>
        <charset val="134"/>
      </rPr>
      <t>（进行中）</t>
    </r>
    <r>
      <rPr>
        <sz val="11"/>
        <color theme="1"/>
        <rFont val="等线"/>
        <family val="2"/>
        <scheme val="minor"/>
      </rPr>
      <t xml:space="preserve">
4 、SAP凭证传WMS存在重复二次传递情况（生产原料核销）解决方案讨论及处理 </t>
    </r>
    <r>
      <rPr>
        <sz val="9"/>
        <color rgb="FFFF0000"/>
        <rFont val="微软雅黑"/>
        <family val="2"/>
        <charset val="134"/>
      </rPr>
      <t>（进行中）</t>
    </r>
    <r>
      <rPr>
        <sz val="11"/>
        <color theme="1"/>
        <rFont val="等线"/>
        <family val="2"/>
        <scheme val="minor"/>
      </rPr>
      <t xml:space="preserve">
5 、瑞祥本次WMS项目新增需求清单确认 </t>
    </r>
    <r>
      <rPr>
        <sz val="9"/>
        <color rgb="FF009B74"/>
        <rFont val="微软雅黑"/>
        <family val="2"/>
        <charset val="134"/>
      </rPr>
      <t>（已完成）</t>
    </r>
    <r>
      <rPr>
        <sz val="11"/>
        <color theme="1"/>
        <rFont val="等线"/>
        <family val="2"/>
        <scheme val="minor"/>
      </rPr>
      <t xml:space="preserve">
6 、瑞祥新增需求方案及人天奇秦内部评估 </t>
    </r>
    <r>
      <rPr>
        <sz val="9"/>
        <color rgb="FFFF0000"/>
        <rFont val="微软雅黑"/>
        <family val="2"/>
        <charset val="134"/>
      </rPr>
      <t>（进行中）</t>
    </r>
    <r>
      <rPr>
        <sz val="11"/>
        <color theme="1"/>
        <rFont val="等线"/>
        <family val="2"/>
        <scheme val="minor"/>
      </rPr>
      <t xml:space="preserve">
7 、瑞祥WMS 业务蓝图讲解 </t>
    </r>
    <r>
      <rPr>
        <sz val="9"/>
        <color rgb="FFFF0000"/>
        <rFont val="微软雅黑"/>
        <family val="2"/>
        <charset val="134"/>
      </rPr>
      <t>（进行中）</t>
    </r>
    <r>
      <rPr>
        <sz val="11"/>
        <color theme="1"/>
        <rFont val="等线"/>
        <family val="2"/>
        <scheme val="minor"/>
      </rPr>
      <t xml:space="preserve">
</t>
    </r>
  </si>
  <si>
    <t>1、瑞祥增补合同人天评估&amp;SOW编写（进行中）
2、SAP凭证传WMS存在重复二次传递情况，跟进SAP侧开发进度（进行中）
3、蓝图汇报及确认（已完成）
4、物料标签、卡牌、货位标签、打印机型号确认。（已完成）
5、采购收退货、生产领退料、库内管理、销售出库退库工单编写。（已完成）</t>
  </si>
  <si>
    <t xml:space="preserve">1、完成出入库单据打印样式确认。
2、完成《业务蓝图》签署
3、完成采购收退货、生产领退料、库内管理、销售出库退库工单开发讲解。
4、完成开发计划制定。
</t>
  </si>
  <si>
    <t>1、测试环境静态数据收集（仓库、库位、物料、工作组、批次规则）（进行中）
2、完成一卡通、SAP、MES、EAM、LIMS、OA测试环境确认。
3、完成库位编码规则确认
4、瑞祥测试环境静态数据维护（进行中）
5、系统功能开发（到货验收单、采购入库单、生产订单、生产入库单）（进行中）</t>
  </si>
  <si>
    <t xml:space="preserve">1、完成测试环境物料信息推送（SAP-&gt;WMS）
2、完成测试环境物料批次规则属性、批次特征分类，物料分配批次特征，包装物包装规则维护
3、完成系统单元测试（到货验收单（含PDA）、采购入库单（含PDA）、生产订单、生产入库单 测试范围包含瑞泰、瑞恒、瑞祥）
4、完成系统功能开发（副产品入库、生产领料、物资领用出、退库、销售出库、物料信息）
</t>
  </si>
  <si>
    <t>已完成：
1、系统单元测试（销售出库单、销售退货单、调拨外仓， 测试范围包含瑞泰、瑞恒、瑞祥）
2、系统单元测试（物资领用出库、物资领用退库、非SAP物资出库， 测试范围包含瑞泰、瑞恒、瑞祥）
3、一卡通不过磅物资运单推送WMS功能改造确认
4、PDA测试（入库作业（到货点收、入库上架、物资退回）、物资领用、库存查询、库内理货、转储、库存计数（盘点）测试范围包含瑞恒、瑞祥）
5、采购、生产、销售、库内四大业务线贯穿测试（测试范围包含瑞泰、瑞恒、瑞祥）</t>
  </si>
  <si>
    <t>1、完成WMS系统功能演示
2、完成用户操作系统单模块测试（测试功能范围：原料物资出入库相关业务）
3、完成用户操作系统单模块测试（测试功能范围：辅材物资出入库相关业务）
4、完成用户操作系统单模块测试（测试功能范围：成品物资出入库相关业务）
5、完成用户操作系统全业务流程贯穿测试
6、***瑞祥WMS功能增补需求评审***（进行中）</t>
  </si>
  <si>
    <t>一、项目工作
1、完成静态数据收集模板整理（库存地点、库位、成本中心、工作组、物料仓库、用户&amp;权限、成品批属性、包装物、包装规则、启用包装物的物料清单 ）。
2、完成静态数据收集模板填写要求讲解。
3、完成UAT测试脚本编写。
4、备品件一卡通自动推送运单跟进。（进行中）
5、MES方生产入库及原料核销系统开发进度跟进。（进行中）
二、组织三家公司仓储领导一起确认增补需求</t>
  </si>
  <si>
    <t>1、备品件一卡通自动推送运单跟进。（已完成）
2、MES方生产入库及原料核销系统开发进度跟进。（进行中）</t>
  </si>
  <si>
    <t>1、完成UAT测试
2、完成MES接口讨论（液位计计量数据传WMS；WMS业务销售出库和生产入库数据传MES）
3、制定上线切换策略，初定提前上线试运行时间。</t>
  </si>
  <si>
    <t>上线准备：
1、协助SAP系统同步瑞祥的物料主数据（已完成）
2、物料仓库数据收集整理及生产环境导入（已完成）
3、WMS静态数据系统维护（公司、工厂、库存地点、仓库、库位、工作中心、用户角色、成本中心等）（已完成）
4、协助辅材库实物库位标签粘贴（已完成）
5、期初库存数据导入模板填写培训（已完成）
6、协助用户整理期初库存导入模板（进行中）</t>
  </si>
  <si>
    <r>
      <t>1、完成期初库存导入
2、SAP、一卡通、OA、LIMS、EAM（待定）、MES（待定）生产环境接口切换
3、10.28日WMS系统完成切换部署
4、WMS切换后首单验证（</t>
    </r>
    <r>
      <rPr>
        <sz val="9"/>
        <color rgb="FF00D09B"/>
        <rFont val="微软雅黑"/>
        <family val="2"/>
        <charset val="134"/>
      </rPr>
      <t>截止10月31日系统无重大BUG，采购、库内、销售业务已正常开展）</t>
    </r>
    <r>
      <rPr>
        <sz val="11"/>
        <color theme="1"/>
        <rFont val="等线"/>
        <family val="2"/>
        <scheme val="minor"/>
      </rPr>
      <t xml:space="preserve">
5、WMS系统上线支持</t>
    </r>
  </si>
  <si>
    <t xml:space="preserve">1、WMS系统上线支持，部分业务优化调整。（截止11月7日75%的业务单据已正常启用，剩余少部分逆向业务未发生）
2、准备增补需求的部分采购评审工作
</t>
  </si>
  <si>
    <t>1、WMS系统上线支持，部分业务优化调整（副产品、联产品收货功能优化、批次管理页面新增筛选功能等）
2、增补需求的直接采购评审（延迟至本周）</t>
  </si>
  <si>
    <t>1、WMS系统上线支持，部分业务优化调整（截止到11.21问题清单共25项，已完成24项问题处理，还有一项生产入库单增加查询功能增强本周处理）
2、完成增补需求的直接采购评审（公示流程审批中）
3、完成瑞祥WMS&amp;MES生产报工流程的测试工作（瑞泰WMS需微调待测试）</t>
  </si>
  <si>
    <t>1、协助业务部门进行月结关账。
2、处理SAP推送WMS生产领料单由于并发问题导致WMS偶尔出现接收失败问题。
3、整理SOW项目交付物；
4、上线支持，处理问题清单表中问题项。（上线后问题清单总计28项，已闭环解决24项，未关闭4项预计12月2日前全部处理完毕）</t>
  </si>
  <si>
    <t>HSE-应用质量提升</t>
  </si>
  <si>
    <t>3月：
（三）HSE监管数据一致率低于90%，扣0.2分。
（四）HSE系统操作规范率低于95%，扣0.2分。</t>
  </si>
  <si>
    <t>1、完成统建系统的数据集成工作，推进新系统的使用
2、自建系统重要问题继续跟踪和处理</t>
  </si>
  <si>
    <t>1、完成统建系统的数据集成工作，推进新系统的使用
2、自建系统重要问题继续跟踪和处理
3、持续跟进企业数据和监管侧数据一致性、规范性问题</t>
  </si>
  <si>
    <t>持续提升</t>
  </si>
  <si>
    <t>集团统建系统数据集成：
1、作业票已完成
2、巡检已完成
3、双预已完成集成，和中化信息完善事业部平台
4、处理监控组不能访问事业部统建系统问题
自建系统重要问题处理和跟踪
1、推进自建双重预防系统企业重新推送隐患相关数据工作
2、讨论连云港仓储码头数据上传徐圩园区方案
3、协助芮城公司作业许可、双预防、巡检、承包商集团统建
4、处理监控组不能访问圣奥人员定位系统问题
5、协调处理南通星辰HSE系统上传附件失败问题</t>
  </si>
  <si>
    <t>第一周：集团统建系统数据集成：
1、作业票已完成；2、巡检已完成；3、双预已完成集成，和中化信息完善事业部平台；4、核对工塑扬州数据，协调处理集团通报的巡检问题和双预数据不同步问题
自建系统重要问题处理和跟踪：
1、推进自建双重预防系统企业重新推送隐患相关数据工作；2、协调处理安徽圣奥人员定位离线故障；3、处理监控组不能访问圣奥人员定位、事业部HSE系统问题
第二周：集团统建系统数据集成：
1、作业票已完成；2、巡检已完成；3、双预已完成集成，和中化信息完善事业部平台；4、协调处理工塑扬州双预数据不上传事业部平台事宜；5、处理统建系统堡垒机迁移事宜
自建系统重要问题处理和跟踪
1、推进自建双重预防系统企业重新推送隐患相关数据工作；2、跟踪自建系统企业侧和监管侧数据一致性问题
第三周：集团统建系统数据集成：
1、作业票已完成；2、巡检已完成；3、双预已完成集成，和中化信息完善事业部平台数据
自建系统重要问题处理和跟踪
1、推进自建双重预防系统企业重新推送隐患相关数据工作；2、跟踪自建系统企业侧和监管侧数据一致性问题；3、处理监控组不能访问瑞泰、淮化系统问题；4、排查中化高纤双预数据异常问题；5、了解连云港圣奥HSE系统建设情况，暂不具备数据上传条件，待年中再跟进；</t>
  </si>
  <si>
    <t>第一周：统建系统数据集成：
1、作业票已完成；2、巡检已完成；3、双预已完成集成，9家企业数据回传事业部平台4、协调处理系统升级后地址改变导致事业部平台链接和单点无法登录故障
自建系统重要问题处理和跟踪
1、跟踪自建系统企业侧和监管侧数据一致性问题；2、协调处理连云港码头数据上传园区故障
第二周：统建系统数据集成：
1、作业票已完成；2、巡检已完成；3、双预已完成集成，9家企业数据回传事业部平台（还剩4家正在处理）
自建系统重要问题处理和跟踪
1、跟踪自建系统企业侧和监管侧数据一致性问题；2、协调处理鑫宝作业票数据未上传故障3、处理瑞恒网络调整系统不正常故障4、处理监控组不能访问泰安圣奥hse系统问题
第三周：统建系统：
1、双预已完成集成，9家企业数据回传事业部平台（还剩3家正在处理）；2、统建系统去年运维总结和采购评估
自建系统重要问题处理和跟踪
1、跟踪自建系统企业侧和监管侧数据一致性问题2、协调处理连云港圣奥人员定位漂移问题
第四周：统建系统：
1、双预已完成集成，9家企业数据回传事业部平台（还剩1家正在处理）；2、统建系统去年运维总结和采购评估 3、处理HSE系统无法登录故障4、统建系统漏洞修复
自建系统：
1、跟踪自建系统企业侧和监管侧数据一致性问题2、处理圣奥三家公司重大危险源离线故障3、处理2家公司人员定位离线故障4、协调连云港圣奥视频监控接入事宜5、瑞祥化工5G内网问题协调6、参加中间体HSE系统认证会</t>
  </si>
  <si>
    <t>第一周：统建系统：
1、双预已完成集成，9家企业数据回传事业部平台（还剩1家正在处理）；2、HSE系统运维采购审核意见反馈 3、系统漏洞修复4、配合中化信息系统升级5、处理系统报表和实际数据有误差问题
自建系统：
1、跟踪自建系统企业侧和监管侧数据一致性问题2、参加瑞恒人员定位升级系统认证会
第二周：统建系统：
1、双预已完成集成，9家企业数据回传事业部平台（还剩1家正在处理）；2、HSE系统运维采购审核意见反馈，增加去年部分费用 3、系统漏洞修复4、联系落实统建HSE老系统的关停
自建系统：
1、跟踪自建系统企业侧和监管侧数据一致性问题2、参加瑞恒人员HSE系统单一来源论证会3、处理瑞泰被集团通报重大危险源离线问题4、处理集团通报山东圣奥人员报警逾期未处理问题
第三周：统建系统：
1、双预已完成集成，完成9家企业数据回传事业部平台；2、HSE系统运维采购审核意见反馈，增加去年部分费用 3、系统漏洞修复4、集团统建HSE老系统的已关停5、出差鲁西，参加集团HSE现场沟通会
自建系统：
1、跟踪自建系统企业侧和监管侧数据一致性问题2、参加扬农HSE系统升级技术论证会
第四周：统建系统：
1、双预已完成集成，完成9家企业数据回传事业部平台；2、系统漏洞修复3、HSE系统数据稽查和问题闭环4、处理事业部HSE系统网络故障
自建系统：
1、跟踪自建系统企业侧和监管侧数据一致性问题2、处理瑞恒、瑞泰、连云港码头、瑞兆科系统监控组无法登录故障3、参加扬农HSE系统升级细节讨论会4、讨论圣奥HSE系统运维情况</t>
  </si>
  <si>
    <r>
      <rPr>
        <b/>
        <sz val="9"/>
        <color rgb="FF000000"/>
        <rFont val="微软雅黑"/>
        <family val="2"/>
      </rPr>
      <t>月度总结：</t>
    </r>
    <r>
      <rPr>
        <sz val="11"/>
        <color rgb="FF000000"/>
        <rFont val="微软雅黑"/>
        <family val="2"/>
      </rPr>
      <t xml:space="preserve">
1、企业数据和监管侧数据一致性问题，原因多方面，上传多入口（已联系中化信息关闭其他通报，保证数据上报唯一），企业上传设置问题（联系企业保证数据上传完整性），网络波动导致上传失败（网络稳定），效果一般，需要持续跟进
2、系统5家企业双预数据和报表不一致问题，由于统建系统升级，报表未和新系统保持一致，已提交中化信息，需要开发处理，尚未完成
3、HSE系统数据稽查和问题闭环，本月主要离线问题原因在企业侧上报故障，稽查后恢复
4、其他中化通报问题处理，监控组登录失败，原因网络或服务器问题，已协调处理恢复
</t>
    </r>
    <r>
      <rPr>
        <b/>
        <sz val="9"/>
        <color rgb="FF000000"/>
        <rFont val="微软雅黑"/>
        <family val="2"/>
      </rPr>
      <t>第一周：</t>
    </r>
    <r>
      <rPr>
        <sz val="11"/>
        <color rgb="FF000000"/>
        <rFont val="微软雅黑"/>
        <family val="2"/>
      </rPr>
      <t xml:space="preserve">
统建系统：1、双预已完成集成，完成9家企业数据回传事业部平台2、系统漏洞修复3、HSE系统数据稽查和问题闭环
自建系统：1、跟踪自建系统企业侧和监管侧数据一致性问题2、处理瑞恒、瑞泰、连云港码头、瑞兆科系统监控组无法登录故障3、参加扬农HSE系统升级预算讨论会4、关停安徽圣奥老人员定位系统
</t>
    </r>
    <r>
      <rPr>
        <b/>
        <sz val="9"/>
        <color rgb="FF000000"/>
        <rFont val="微软雅黑"/>
        <family val="2"/>
      </rPr>
      <t>第二周：</t>
    </r>
    <r>
      <rPr>
        <sz val="11"/>
        <color rgb="FF000000"/>
        <rFont val="微软雅黑"/>
        <family val="2"/>
      </rPr>
      <t xml:space="preserve">
统建系统：1、处理统建系统5家企业双预数据和报表不一致问题2、系统漏洞修复3、HSE系统数据稽查和问题闭环
自建系统：1、跟踪自建系统企业侧和监管侧数据一致性问题2、处理泰安圣奥重大危险源数据上传字段丢失
其他：1、协助企业检查督察组发布的3月份数据一致性和重点操作规范率数据2、协同集团泰安圣奥现场HSE数字化督查
</t>
    </r>
    <r>
      <rPr>
        <b/>
        <sz val="9"/>
        <color rgb="FF000000"/>
        <rFont val="微软雅黑"/>
        <family val="2"/>
      </rPr>
      <t>第三周：</t>
    </r>
    <r>
      <rPr>
        <sz val="11"/>
        <color rgb="FF000000"/>
        <rFont val="微软雅黑"/>
        <family val="2"/>
      </rPr>
      <t xml:space="preserve">
统建系统：1、处理统建系统5家企业双预数据和报表不一致问题2、系统漏洞修复3、HSE系统数据稽查和问题闭环
自建系统：1、跟踪自建系统企业侧和监管侧数据一致性问题2、处理中化连云作业票上传故障
其他：1、协助企业检查督察组发布的3月份数据一致性和重点操作规范率数据2、协同集团优嘉植保现场HSE数字化督查
</t>
    </r>
    <r>
      <rPr>
        <b/>
        <sz val="9"/>
        <color rgb="FF000000"/>
        <rFont val="微软雅黑"/>
        <family val="2"/>
      </rPr>
      <t>第四周：</t>
    </r>
    <r>
      <rPr>
        <sz val="11"/>
        <color rgb="FF000000"/>
        <rFont val="微软雅黑"/>
        <family val="2"/>
      </rPr>
      <t xml:space="preserve">
统建系统：1、处理统建系统5家企业双预数据和报表不一致问题2、系统漏洞修复3、HSE系统数据稽查和问题闭环
自建系统：1、跟踪自建系统企业侧和监管侧数据一致性问题2、处理瑞泰重大危险源离线故障3、协调处理中间体数据上报频次多长导致离线故障4、处理淮化人员定位数据上传问题</t>
    </r>
  </si>
  <si>
    <t>月度总结：
1、持续跟进企业数据和监管侧数据一致性问题，处理多家企业因基础数据未更新导致实时数据不一致问题，继续跟进
2、分析集团一季度HSE数据稽查结果，协同HSE部形成并落实方案，最主要的整改措施作业预约上传已完成2/10
3、系统5家企业双预数据和报表不一致问题，由于统建系统升级，报表未和新系统保持一致，已提交中化信息，需要开发处理，尚未完成
4、HSE系统数据稽查和问题闭环，本月多家作业票上传故障，通报后恢复
5、处理多家企业事业部统建人员定位系统切换公网IP事宜
6、其他中化通报问题处理，瑞泰系统监控组登录失败，原因是服务器内设172和监控组地址冲突问题，四级重大危险源数据正常显示离线等问题，已协调处理并回复</t>
  </si>
  <si>
    <t>月度总结：
1、持续跟进企业数据和监管侧数据一致性问题，处理多家企业因基础数据未更新导致实时数据不一致问题，继续跟进
2、分析集团一季度HSE数据稽查结果，协同HSE部形成并落实方案，最主要的整改措施作业预约上传已完成4/10
3、评估传集团SIS信息事宜
4、HSE系统数据稽查和问题闭环，本月稽查基本情况良好，通报不多
5、处理多家企业事业部统建人员定位系统切换公网IP和SSL换证事宜
6、其他集团通报问题处理，已协调处理并回复</t>
  </si>
  <si>
    <r>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3、沟通3家未完成企业，2家已落实整改计划（锦湖、富比亚），1家尚未完成整改计划，正在走内部审批流程（连云港产业园）
4、针对集团通报问题，再次细化评估传集团SIS数据（</t>
    </r>
    <r>
      <rPr>
        <sz val="9"/>
        <color rgb="FFFD4147"/>
        <rFont val="微软雅黑"/>
        <family val="2"/>
        <charset val="134"/>
      </rPr>
      <t>需要专题沟通</t>
    </r>
    <r>
      <rPr>
        <sz val="11"/>
        <color theme="1"/>
        <rFont val="等线"/>
        <family val="2"/>
        <scheme val="minor"/>
      </rPr>
      <t xml:space="preserve">）
5、HSE系统数据稽查和问题闭环，本月稽查基本情况良好，各企业数据上报较稳定
6、中间体HSE系统升级项目日常推进
7、其他集团通报问题处理，已协调处理并反馈
</t>
    </r>
  </si>
  <si>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3、沟通3家未完成企业，跟进企业进度：锦湖12月底 富比亚9月底 连云港产业园9月底完成整改
4、针对集团通报问题，再次细化评估传集团SIS数据，拟定立项报告，申请立项
5、HSE系统数据稽查和问题闭环，本月稽查基本情况良好，各企业数据上报较稳定
6、中间体HSE系统升级项目日常推进，项目进度正常，准备9月下旬试运行和培训，12月中旬完成验收
7、其他集团通报问题处理，已协调处理并反馈</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</si>
  <si>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3、沟通3家未完成企业，跟进企业进度：锦湖12月底 富比亚10月底 连云港产业园11月底完成整改
4、重大危险源SIS数据上报走完流程，开始开发和完善功能，预计下月完成功能开发，推进数据集成
5、HSE系统数据稽查和问题闭环，本月稽查基本情况良好，各企业数据上报较稳定
6、中间体HSE系统升级项目日常推进，项目进度正常，准备试运行和培训，12月中旬完成验收
7、针对集团6项HSE制度的修订，跟踪各企业整改情况
8、其他集团通报问题处理，已协调处理并反馈</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</si>
  <si>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2、分析集团一季度HSE数据稽查结果，协同HSE部形成并落实方案，最主要的整改措施作业预约上传已完成8/10
3、沟通3家未完成企业，跟进企业进度：锦湖12月底 富比亚10月底（连同HSE系统整体整改，预计延期2周）
4、重大危险源SIS数据上报基本完成开发和完善功能，开始逐家数据集成和上报
5、HSE系统数据稽查和问题闭环，本月稽查基本情况良好，各企业数据上报较稳定
6、中间体HSE系统升级项目日常推进，项目进度正常，10.25所有模块已上线进入试运行，预期年底验收
7、针对集团6项HSE制度的修订，跟踪各企业整改情况
8、其他集团通报问题处理，已协调处理并反馈
9、集团未下发2、3季度数据，不知道整改考核情况，事关年底考核，请领导协调</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</si>
  <si>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2、分析集团一季度HSE数据稽查结果，协同HSE部形成并落实方案，最主要的整改措施作业预约上传已完成9/10
3、沟通1家未完成企业，跟进企业进度：锦湖12月底
4、重大危险源SIS数据上报基本完成开发和完善功能，开始逐家数据集成和上报
5、HSE系统数据稽查和问题闭环，本月稽查基本情况良好，各企业数据上报较稳定
6、中间体HSE系统升级项目日常推进，项目进度正常，进入试运行阶段，预期年底验收
7、针对集团6项HSE制度的修订，跟踪各企业整改情况
8、其他集团通报问题处理，已协调处理并反馈
9、集团未下发2、3季度数据，不知道整改考核情况，事关年底考核，请领导协调</t>
  </si>
  <si>
    <t>连云港储罐智慧管理二期</t>
  </si>
  <si>
    <t>蒋慧</t>
  </si>
  <si>
    <t>1.开展人员定位风险聚集新功能上线；
2.完成双重预防模块内部测试和问题整改，开展用户测试；
3.开展生产管理、成本管理、任务工单、物资领用优化等功能开发；
4.开展作业票上线运行支持和bug问题整改；
5.开展三维物联网平台功能开发和建模；</t>
  </si>
  <si>
    <r>
      <t xml:space="preserve">1.开展双重预防模块上线试运行；
2.开展生产管理槽车排队叫号及槽车畅行上线试运行；
3.开展设备管理模块码头基础数据实施； 
4.开展多因子集成联调。
</t>
    </r>
    <r>
      <rPr>
        <sz val="9"/>
        <color rgb="FFFD4147"/>
        <rFont val="微软雅黑"/>
        <family val="2"/>
      </rPr>
      <t>5。明确整体计划即实施进度，下次会议回顾。</t>
    </r>
  </si>
  <si>
    <t>1，针对二期已上线的模块测试结果中与建设预期不符的共计86项，进行专项会议，讨论最终实施方案
2，车辆作业共计19项问题需在本周与供应商协同解决（槽车畅行模块小程序10项，基础数据2项，罐区作业6项，作业委托1项）
3，基础服务器优化，部分并发量高/低的模块服务器需要优化配置，并新增2台双预防服务器。</t>
  </si>
  <si>
    <t>1.开展生产管理二期功能上线试运行及问题整改，目前已针对5个物料开展槽车排队新流程；
2.开展任务工单上线试运行及问题整改；
3.完成双重预防基础数据导入，待培训后上线试运行；
4.开展设备基础数据采集（反馈数据有问题，请尽快根据修改意见调整后重新反馈）；
5.开展人员定位SOS报警接口排查（工卡SOS报警触发已改成连击5次触发）；
6.开展多因子接口联调问题排查（问题已明确，网络策略有问题导致接口不通）；
7.完成AI视频识别报警数据对接；
8.作业票上线运行支持。</t>
  </si>
  <si>
    <t>1.开展双重预防模块培训及上线试运行，完成政府及中化集团数据上报推送接口开发；
2.开展生产管理二期功能上线试运行；
3.开展任务工单上线试运行及问题整改；
4.开展设备管理上线试运行测试；
5.完成承包商优化功能开发；
6.开展绩效模块测试；
7.报表制作；
8.开展消防数据接入；</t>
  </si>
  <si>
    <t xml:space="preserve">1.开展生产管理二期功能上线试运行；
2.开展设备管理上线试运行测试；
3.完成承包商、环保模块、职业健康优化功能上线；
4.开展绩效模块上线试运行；
5.开展双重预防-隐患上报流程修改（待用户明确需求）；
6.管理报表制作；
7.开展消防数据接入及广播接口开发；
</t>
  </si>
  <si>
    <t>二月开发进度汇总：
1，总计建设一级功能模块11个：包括安全健康环保，报表应用，成本管理，绩效管理，平台综合需求，设备完整性管理，生产管理，物联网平台建设，
物资管理，移动应用，政府上报接口开发，
2，建设二级功能63个，二级开发项89个:已完成(59),上线试运行(16),测试中(10),功能待调整(1),接口开发(1),开发已完成(1),实施中(1)
3，整体完成率为66%，原定于2月28日完成全部开发工作，由于需求变更或供应商资源调配问题现有29个开发项延误。
三月实施计划：
1，督促供应商优先完成所有计划开发项的开发。
2，（新增项）完成广播和AI报警联动响应开发，完成火灾报警数据接入；
3，完成双重预防隐患治理、安全检查、专项检查等变更需求开发；
4，完成承包商、职业健康、环保管理优化内容的bug整改及上线；
5，完成移动端消息推送和报警处置；
6，完成报表实施。</t>
  </si>
  <si>
    <t xml:space="preserve">4月计划：
1.完成安全检查和专项检查功能开发及上线；
2.完成中化集团双防系统接口上报；
3.完成设备app功能调试及上线；
4.开展报表实施。
</t>
  </si>
  <si>
    <t>报表：
尽快完成各部门报表需求整理，对各部门的T1~T3会议报表实现全覆盖。
双重预防：
完成双预防数据上报，完成对监管部门及事业部以及集团的数据上报工作。</t>
  </si>
  <si>
    <t>智慧管理系统二期-上线后反馈问题处理
一、协同保障部模块
船舶预确报/进出港计划优化
问题8/9：来港/去港信息分离展示（优化，高优）
新增问题：委托单查看时信息合并展示（优化）
负责人：胡晓雪
计划完成：6月16日前
管输作业委托新增功能
问题13：每日9:30邮件计量提醒（新增需求，高影响）
问题14：每日10:00计量确认提醒（新增需求，高影响）
负责人：胡晓雪
计划完成：6月20日前
危化品车辆管理
新增问题：运输公司输入查找功能（优化，中影响）
问题19：删除无效列展示（优化）
负责人：胡晓雪
计划完成：6月18日前
二、合同管理模块
码头账单管理修复
问题22-34：收费周期错误、NOR保存问题、服务项目错乱等（共13项Bug，高影响）
负责人：胡晓雪
计划完成：6月15日前（部分已处理需验证）
货权转移与仓储账单
问题36：台账逻辑错误、导出信息空白（Bug，高影响）
问题37：仓储账单功能完善（高影响）
负责人：胡晓雪
计划完成：6月25日前
三、库存管理模块
库存调节与损耗
问题40：库存调节备注不显示/多附件上传（优化，高影响）
问题42：库存台账数据准确性校验（优化，高影响）
负责人：胡晓雪
计划完成：6月22日前
四、承包商管理模块（HSE部/技术部）
承包商资质与状态管理
问题50：资质到期提醒（需求变更）
问题52：承包商状态分类（新增需求）
负责人：杨东/王磊
计划完成：6月20日前
人员信息优化
问题57：资料分类拆分/到期暂停作业（新增需求）
问题58：人员状态管理（新增需求）
负责人：杨东/王磊
计划完成：6月25日前
五、操作部模块
统一待办功能优化
问题77：待办任务提示铃声（优化）
问题79：待办页面自动更新（优化）
负责人：张立
计划完成：6月18日前
绩效管理整合
问题96/97：巡检/检尺等作业纳入个人绩效（系统使用优化）
负责人：宋歌
计划完成：6月20日前
六、仓储三维物联网模块
特殊作业统计优化
问题107：码头作业统计添加（新增需求）
问题110：异常作业内容可视化（新增需求）
负责人：黄成
计划完成：6月15日前
联动预警流程
问题108：误报需强制填写处理信息（新增需求）
负责人：刘云芳
计划完成：6月12日前（紧急）
七、其他高优问题
STOP观察统计（HSE部）
问题103/104：码头/仓储分区统计（新增需求）
负责人：黄贤臻
计划完成：6月15日前
层级会议异常清单
问题114：支持时间段查询与导出（需求变更）
负责人：刘云芳
计划完成：6月28日前
计划说明
优先级排序：高影响（Bug/新增需求）&gt; 待处理 &gt; 优化类问题。
风险项：
问题15（操作日志报表）因技术限制暂无法处理，需协调资源。
问题51（承包商批量上传）关闭，建议手动处理。
验证安排：6月25-30日集中回归测试，重点关注已标记“待验证”项（如仓储账单、绩效模块）。</t>
  </si>
  <si>
    <t>1.系统上线试运行技术支持；
2.开展电量点位梳理（新增需求）及二期电量数据采集。</t>
  </si>
  <si>
    <t>8月计划：
1.系统上线试运行技术支持；
2.开展槽车作业启泵流程功能修改，以及与绩效模块的数据关联（新增需求）。</t>
  </si>
  <si>
    <t>2024/9</t>
  </si>
  <si>
    <t>2025/2</t>
  </si>
  <si>
    <t>2025/09</t>
  </si>
  <si>
    <t xml:space="preserve">1.完成生产、安全、物料领用、成本管理、任务工作台开发和部署；
2.完成双重预防开发和部署；
（开展报警管理基础点位基础数据采集、.完成槽车排队叫号及槽车畅行测试，待上线试运行、开展设备保养管理功能开发；开展多因子集成联调、作业票上线运行支持） 
</t>
  </si>
  <si>
    <t>5项二级功能功能延迟，占比：5.6%，4项功能等待用户反馈数据，1项功能等待用户培训。</t>
  </si>
  <si>
    <t>1.开展生产管理二期功能上线试运行，针对近期出现的司机预约问题进行重点排查（已处理）；
2.完成双重预防上线培训，开展上线试运行；
3.开展设备工单模块上线试运行测试；
4.开展能耗模块数据采集核对及校验（部分电量点找不到点位，待用户校对）；
5.开展HSE承包商模块优化功能测试；
6.开展巡检模块和双预防排查融合功能开发；
7.开展绩效模块测试；
8.作业票上线运行支持。</t>
  </si>
  <si>
    <t xml:space="preserve">1.双重预防模块培训已开展，技术部已完成培训
2.双重预防和徐圩园区双重预防接口推送调试；
3.设备工单模块上线试运行；
4.完成能耗模块数据采集核对及校验，功能已部署；
5.完成HSE承包商模块优化功能测试，根据用户对接情况进行细节功能调整
6.开展巡检模块和双预防排查融合功能开发；
7.开展设备看板功能开发；
8.开展管理报表需求对接；
9.作业票上线运行支持。
</t>
  </si>
  <si>
    <t>1.开展生产管理二期功能上线试运行问题搜集；
2.开展设备模块上线试运行，针对优化需求进行整改；
3.开展绩效模块培训及上线试运行；
4.开展扩音对讲接口开发；
5.开展HSE优化功能测试；
6.开展巡检模块和双预防排查融合功能开发；
7.完成设备看板功能开发；
8.作业票上线运行支持。</t>
  </si>
  <si>
    <t>1.完成广播和AI报警联动响应开发，完成火灾报警数据点位配置及接口开发（火灾设备数据无法上报，需火灾厂商处理）;
2.开展安全检查、专项检查需求变更对接确认，根据变更后的需求进行功能开发；
3.完成承包商、职业健康、环保管理优化内容的bug整改及上线;4.完成移动端报警处置功能</t>
  </si>
  <si>
    <t xml:space="preserve">智慧园区二期系统上线后，各模块共记录 ​83个问题，目前已解决 ​59个​（完成率 ​71%​），剩余 ​24个未完成。问题类型以 ​新增需求（25个）​​ 和 ​Bug（20个）​​ 为主，其次是 ​优化类（24个）​。
</t>
  </si>
  <si>
    <t>完成各部门报表需求整理，对各部门的T1~T3会议报表实现全覆盖。
双预防数据上报，完成对监管部门及事业部以及集团的数据上报工作。</t>
  </si>
  <si>
    <t>7月完成工作
1.开展系统上线试运行技术支持；
2.完成特殊作业票验收方式及数据推送新增需求的优化；
3.完成层级会议导出功能（需求变更）优化；</t>
  </si>
  <si>
    <t>中间体APC（瑞恒、瑞祥、瑞泰）</t>
  </si>
  <si>
    <t>马天明+徐立辉+宋迪+贺荣荣</t>
  </si>
  <si>
    <t>化工事业部考核目标：PID整定：9套；APC投用：4套。</t>
  </si>
  <si>
    <t>编制采购方案
准备两家候选供应商谈判
初步计划12-30这周谈判，等待瑞恒领导决策。</t>
  </si>
  <si>
    <t>提交OA采购申请审批流程；
召开采购谈判会议；
公示采购结果；</t>
  </si>
  <si>
    <t>探讨建设中间体事业部的先进控制团队。</t>
  </si>
  <si>
    <t>1、瑞恒APC按计划实施；
2、瑞祥APC按计划实施；
3、瑞泰APC开展项目可研</t>
  </si>
  <si>
    <r>
      <rPr>
        <b/>
        <sz val="9"/>
        <color rgb="FF2F5597"/>
        <rFont val="微软雅黑"/>
        <family val="2"/>
      </rPr>
      <t>瑞恒：</t>
    </r>
    <r>
      <rPr>
        <sz val="11"/>
        <color rgb="FF000000"/>
        <rFont val="微软雅黑"/>
        <family val="2"/>
      </rPr>
      <t xml:space="preserve">酚酮装置APC：●●继续开展酚酮车间、环氧丙烷车间和丙烷脱氢车间基础自动化提升工作。●●继续投运调试苯酚精馏塔APC控制器。●●继续投运调试原料苯酚塔APC控制器。●●继续投运调试原料分离塔APC控制器。●●继续投运调试丙酮塔APC控制器。●●搭建异丙苯单元APC控制器。
</t>
    </r>
    <r>
      <rPr>
        <b/>
        <sz val="9"/>
        <color rgb="FF2F5597"/>
        <rFont val="微软雅黑"/>
        <family val="2"/>
      </rPr>
      <t>瑞祥：</t>
    </r>
    <r>
      <rPr>
        <sz val="11"/>
        <color rgb="FF000000"/>
        <rFont val="微软雅黑"/>
        <family val="2"/>
      </rPr>
      <t xml:space="preserve">软硬件采购和安装；DCS组态编辑；APC建模及组态。
</t>
    </r>
    <r>
      <rPr>
        <b/>
        <sz val="9"/>
        <color rgb="FF2F5597"/>
        <rFont val="微软雅黑"/>
        <family val="2"/>
      </rPr>
      <t>瑞泰：</t>
    </r>
    <r>
      <rPr>
        <sz val="11"/>
        <color rgb="FF000000"/>
        <rFont val="微软雅黑"/>
        <family val="2"/>
      </rPr>
      <t>开展采购寻源。</t>
    </r>
  </si>
  <si>
    <t>完成采购方案的编制；
明确了采购流程（竞争性谈判，由瑞恒提交扬农集团OA采购审批流程）
准备两家候选供应商谈判
完成《需求说明书》评审</t>
  </si>
  <si>
    <t>1月16日召开了采购谈判会议</t>
  </si>
  <si>
    <t>2025-02-21，项目实施阶段启动</t>
  </si>
  <si>
    <t>1、瑞恒APC：按计划实施；酚酮、环氧丙烷、PDH、氯碱装置PID回路整定；酚酮装置APC DCS组态；APC客户端部署。
2、瑞祥APC：按计划实施；
3、瑞泰APC：完成可研，开展专项申请，2025-05-12通过瑞泰公司总经理办公会审议。</t>
  </si>
  <si>
    <r>
      <rPr>
        <b/>
        <sz val="9"/>
        <color rgb="FF000000"/>
        <rFont val="微软雅黑"/>
        <family val="2"/>
      </rPr>
      <t>瑞恒：</t>
    </r>
    <r>
      <rPr>
        <sz val="11"/>
        <color rgb="FF000000"/>
        <rFont val="微软雅黑"/>
        <family val="2"/>
      </rPr>
      <t xml:space="preserve">酚酮装置APC：●●完成了开工会与蓝图设计，当前进入APC控制器投运调试阶段（共建立11个APC控制器）。●●第一个速赢APC控制器（苯酚精馏塔控制器）开始运行调试，减少了操作员对该塔的频繁操作。●●第二个APC控制器（原料苯酚塔控制器）开始运行调试。●●第三个APC控制器（原料分离塔控制器）开始运行调试。●●第四个APC控制器（丙酮精馏塔控制器）开始运行调试。●●下周将开始建立异丙苯单元APC控制器。
</t>
    </r>
    <r>
      <rPr>
        <b/>
        <sz val="9"/>
        <color rgb="FF000000"/>
        <rFont val="微软雅黑"/>
        <family val="2"/>
      </rPr>
      <t>瑞泰：</t>
    </r>
    <r>
      <rPr>
        <sz val="11"/>
        <color rgb="FF000000"/>
        <rFont val="微软雅黑"/>
        <family val="2"/>
      </rPr>
      <t xml:space="preserve">第一批装置方案设计阶段、第一批装置DCS&amp;APC组态。
</t>
    </r>
    <r>
      <rPr>
        <b/>
        <sz val="9"/>
        <color rgb="FF000000"/>
        <rFont val="微软雅黑"/>
        <family val="2"/>
      </rPr>
      <t>瑞祥：</t>
    </r>
    <r>
      <rPr>
        <sz val="11"/>
        <color rgb="FF000000"/>
        <rFont val="微软雅黑"/>
        <family val="2"/>
      </rPr>
      <t>项目完成内部立项审批，中间体事业部、化工事业部已批复项目。</t>
    </r>
  </si>
  <si>
    <t>跟踪AI大模型工业应用</t>
  </si>
  <si>
    <t>马天明+徐立辉+卢天慧</t>
  </si>
  <si>
    <t>中控、华为解决方案</t>
  </si>
  <si>
    <t>瑞恒：
1）氯碱装置时序大模型TPT：已签订保密协议，未能提供数据；
2）工业机器人：提供了产品资料，生产和设备部没有提应用需求，未开展针对方案编制。
星辰：
1）双酚A装置时序大模型TPT：可信性不大，因为没有现有模型，需要重新训练；
2）环氧装置：不是AI应用的需求，是控制系统供应商服务不到位的需求。万总指示，先找供应商解决控制问题。
泰兴工厂：
1）与付亚国已经交流，当地5S店与工厂密接对接。
2）初步考虑：自控、高级控制、RTDB。</t>
  </si>
  <si>
    <t xml:space="preserve">中控技术：1）瑞恒需求：氯碱装置提供相关资料，用于模型需求分析；保密协议已签署，但还未提供相关资料。
安徽容知：设备相关的AI应用。厂家仍在
</t>
  </si>
  <si>
    <t>中间体MES一期：瑞恒MES
（不跟踪）</t>
  </si>
  <si>
    <t>张志敏</t>
  </si>
  <si>
    <t>04-交付</t>
  </si>
  <si>
    <r>
      <rPr>
        <b/>
        <sz val="9"/>
        <color rgb="FFFF0000"/>
        <rFont val="微软雅黑"/>
        <family val="2"/>
        <charset val="134"/>
      </rPr>
      <t>收集使用情况的数据（成果数据）：各类的数据量，效果情况。</t>
    </r>
    <r>
      <rPr>
        <sz val="9"/>
        <color rgb="FFFF0000"/>
        <rFont val="微软雅黑"/>
        <family val="2"/>
        <charset val="134"/>
      </rPr>
      <t>项目组已做准备。</t>
    </r>
    <r>
      <rPr>
        <b/>
        <sz val="9"/>
        <color rgb="FFFF0000"/>
        <rFont val="微软雅黑"/>
        <family val="2"/>
      </rPr>
      <t xml:space="preserve">
</t>
    </r>
    <r>
      <rPr>
        <sz val="9"/>
        <color rgb="FF00D0D9"/>
        <rFont val="微软雅黑"/>
        <family val="2"/>
        <charset val="134"/>
      </rPr>
      <t>组织向邱总做试运行状体汇报。春节后。</t>
    </r>
  </si>
  <si>
    <t>1、上线检查材料准备；
2、物料管理流程梳理及集成沟通；
3、移动审批事项跟进；
4、HSE接口调试；
5、PHD扩容事项跟进；
6、电力系统数据接入事项跟进；
7、T1、T2会议试用；
8、上线试运行支持。</t>
  </si>
  <si>
    <t>1、上线检查材料准备及计划制定；
2、移动审批事项跟进；
3、PHD扩容事项跟进；
4、电力系统数据接入事项跟进；
5、上线试运行支持；
6、事前算赢集成对接。</t>
  </si>
  <si>
    <t>1、上线检查材料准备及计划制定；
2、移动审批事项跟进；
3、PHD扩容事项跟进；
4、电力系统数据接入事项跟进；
5、事前算赢集成对接；
6、环保数据接入表格梳理；
7、卓越运营功能使用推进；
8、上线试运行支持；
9、上线阶段付款材料准备。</t>
  </si>
  <si>
    <t>1、生产成本报表优化；
2、全厂关键指标梳理；
3、ERP、WMS、事前算赢系统集成推进；
4、PHD扩容事项跟进；
5、电力数据接入；
6、环保数据接入；
7、上线试运行支持。</t>
  </si>
  <si>
    <t>1、生产成本报表优化；
2、2025年年计划录入；
3、卓越运营模块使用推进；
4、ERP、WMS、事前算赢系统集成推进；
5、PHD扩容事项跟进；
6、电力数据接入；
7、渗透测试、基线检查；
8、移动端试用及优化；
9、上线试运行支持。
1、ERP系统集成推进；
2、WMS系统集成推进；
3、事前算赢系统集成推进；
4、T3会议组态；
5、电力系统接入推进；
6、上线试运行支持。</t>
  </si>
  <si>
    <t>1、生产成本功能优化；
2、卓越运营模块使用推进；
3、ERP、WMS、OA系统集成推进；
4、上线前安全检查漏洞修复；
5、项目剩余事项梳理；
6、功能清单梳理；
7、问题清单梳理；
8、属地汇报准备；
9、交付物准备；
10、运维机制建立。</t>
  </si>
  <si>
    <t>1、上线检查材料准备（进行中）；
2、物料管理流程梳理及集成沟通（已完成）；
3、移动审批事项跟进（进行中，需上线检查完成后进行）；
4、HSE接口调试（已完成）；
5、PHD扩容事项跟进（进行中，采购流程）；
6、电力系统数据接入事项跟进（进行中，实施）；
7、T1、T2会议试用（已完成）；
8、上线试运行支持（进行中）。</t>
  </si>
  <si>
    <t>1、上线检查材料准备及计划制定（进行中，申请材料基本完成，沟通代码审计事宜）；
2、移动审批事项跟进（进行中，已收集人员名单）；
3、PHD扩容事项跟进（进行中，沟通费用来源）；
4、电力系统数据接入事项跟进（进行中，四方系统本周完成，南自系统月底前完成）；
5、LSW、走动管理、调度日报、T会、产品标准会签单优化功能校对优化（已完成）；
6、事前算赢集成对接（进行中，人天计划已排定）；
7、移动端APP增加报表展示（已完成）；
8、环保车间数据接入接口调试（已完成）；
9、上线试运行支持（进行中，目前系统使用情况良好，12月9日-12月13日期间总访问次数9611次，共反馈使用问题45个，项目组正在逐一处理）。</t>
  </si>
  <si>
    <t xml:space="preserve">1、上线检查材料准备及计划制定（进行中，材料已完成，正在沟通具体流程及计划）；
2、移动审批事项跟进（进行中，已收集人员名单）；
3、PHD扩容事项跟进（进行中，已提交采购）；
4、电力系统数据接入事项跟进（进行中，四方系统已完成，南自系统等款发货）；
5、事前算赢集成对接（进行中，费用沟通）；
6、环保数据接入（进行中，已完成监控图绘制）；
7、卓越运营功能使用推进（进行中，已完成T1会议模板开发及使用、走动管理优化，LSW正在新增“个人岗位工作手册”）；
8、生产成本报表优化（进行中）；
9、上线阶段付款材料准备（进行中）。
上线试运行情况小结：
1、系统目前共有个功能模块14个，已使用14个，子功能使用情况待统计；
2、登录人次21781，人员账号375个，涉及部门15个；
3、截至12月19日，共产生问题78个，其中业务类34个，功能类28个，使用类10个，权限类4个，接口类2个。
</t>
  </si>
  <si>
    <t xml:space="preserve">1、生产成本报表优化（进行中）；
2、T会培训（已完成）；
3、ERP、WMS、事前算赢系统集成推进（进行中，已沟通）；
4、PHD扩容事项跟进（进行中，已确定方案）；
5、电力数据接入（进行中，四方数据接入测试，南自需等设备到位）；
6、上线检查代码审计准备（进行中，方案已确定）
上线试运行情况小结：
1、系统目前共有个功能模块14个，已使用14个，子功能使用情况待统计；
2、本周（12.20-12.26）登录人次14753，人员账号310个，涉及部门22个，使用频率最高的5个部门依次为氯碱车间、双酚A车间、双氧水车间、丙烷脱氢车间、环氧树脂车间；
3、截至12月26日，共产生问题107个，其中功能类44个，业务类27个，使用类18个，配置类12个，权限类4个，接口类1个，报表类1个。
</t>
  </si>
  <si>
    <t xml:space="preserve">1、生产成本功能优化（进行中，新增领导专用查询页面、ERP价格手动修改、能源价格来源调整）；
2、2025年年计划录入（已完成）；
3、卓越运营模块使用推进（进行中，T1会议调度部门推广）；
4、ERP、WMS、事前算赢系统集成推进（进行中，完成部分开发工作，整体流程需再次梳理）；
5、PHD扩容事项跟进（进行中，正在进行采购流程，扩容下周同步进行）；
6、电力数据接入（进行中，四方系统已就位，数据待接入，南自系统下周款到发货）；
7、渗透测试、基线检查、代码审计（已完成）；
8、移动端试用及优化（进行中）；
一月份截至目前（2025年1月31日）运行情况小结：
1、系统目前共有个功能模块14个，已使用14个，访问量前三的功能模块为卓越运营、成本管理、物料管理；
2、登录人次34636，人员账号427个，涉及部门23个，使用频率最高的5个部门依次为双氧水车间、氯碱车间、环氧氯丙烷车间、动力车间、环氧树脂车间；
3、产生问题18个，其中使用问题8个，优化需求10个。
</t>
  </si>
  <si>
    <t>1、生产成本功能优化（进行中，持续优化）；
2、卓越运营模块使用推进（进行中）；
3、ERP集成推进（进行中，已完成两个接口，生产报工接口细节讨论中）；
4、WMS集成推进（已完成，功能已具备，业务数据需ERP集成完成后推送）；
5、PHD扩容（已完成）；
6、上线前安全检查漏洞修复（进行中，已完成代码漏洞及权限漏洞修复，正在进行基线问题修复及系统补丁安装）；
7、属地高层汇报（已完成）。
二月份截至目前（2025年3月3日）运行情况小结：
1、系统功能模块已全部投入使用，目前整体稳定；
2、用户共提出问题250个，目前已完成183项，已取消32项，进行中36项。</t>
  </si>
  <si>
    <t>【应上尽上】化工事业部 工艺报警系统-总部统筹9家（不跟踪）</t>
  </si>
  <si>
    <t>姜丽丽</t>
  </si>
  <si>
    <t>每周周例会正常召开；
春节前上线。</t>
  </si>
  <si>
    <t xml:space="preserve">商务部分：
1、芮城支付软件费用
2、霍尼韦尔软件支付准备
属地准备：
1、芮城：推进网闸采购工作
2、添加剂：
   安徽圣奥：12.3计划组织用户培训
   山东圣奥：报警点位组态，层级组态，权限配置
   泰安圣奥：报警点位组态，层级组态，权限配置
   富比亚：软件授权采购谈判
   淮河化工：报警点位组态，层级组态，权限配置
   河北三家：网闸，服务器，授权采购中，预计12.10到货
3、事业部：
1、推进多因子集成开发
2、芮城网页访问测试
</t>
  </si>
  <si>
    <t xml:space="preserve">商务部分：
1、霍尼韦尔软件支付准备
属地准备：
1、芮城：推进网闸采购工作
2、添加剂：
   安徽圣奥：用户试用
   山东圣奥：用户现场回访培训，用户试用
   泰安圣奥：12.10计划安排现场上午培训
   富比亚：软件授权采购谈判
   淮河化工：用户试用
   河北三家：网闸，服务器，授权采购中，预计12.10到货
3、事业部：
1、多因子账户权限及报警系统权限配置，淮河，曹县等
</t>
  </si>
  <si>
    <t>商务部分：
1、霍尼韦尔软件支付准备
属地准备：
1、芮城：等待网闸到货
2、添加剂：
   安徽圣奥：用户试用
   山东圣奥：用户试用
   泰安圣奥：用户试用
   富比亚：软件授权采购谈判
   淮河化工：用户试用
   河北三家：网闸，服务器，授权采购中，预计12.10到货
3、事业部：
1、多因子账户权限及报警系统权限配置，曹县更新清单</t>
  </si>
  <si>
    <t xml:space="preserve">属地准备：
1、芮城：网闸已到货，网闸配置，网络调试（完成）
2、添加剂：
   安徽圣奥：用户上线试用
   山东圣奥：用户上线试用
   泰安圣奥：用户上线试用
   富比亚： 网络端口测试，WEB展示层规则文件编制，展示层级组态
   淮河化工：用户上线试用
   河北三家：鑫宝，滏恒上层WEB组态，规则文件编制，滏鼎等待转换网关发货
3、账户权限：曹县用户多因子及报警系统账户权限配置
</t>
  </si>
  <si>
    <t xml:space="preserve">属地准备：
   安徽圣奥：用户上线试用，部分乱码显示乱问问题正在处理
   山东圣奥：用户上线试用
   泰安圣奥：用户上线试用
   富比亚： 用户上线试用，用户现场培训
   淮河化工：用户上线试用
   芮城：用户试用中，用户无法登录多因子，联系配置
   河北三家：用户试用中，数据采集核对，报警点位整理及优化
事业部：
1、上线前测试，基础架构团队负责，目前已提交所有材料，测试预计一周
2、上线报告准备审查
3、各家提供报警优先级对应关系
</t>
  </si>
  <si>
    <r>
      <rPr>
        <sz val="9"/>
        <color rgb="FF000000"/>
        <rFont val="微软雅黑"/>
        <family val="2"/>
      </rPr>
      <t>商务部分：
1、芮城支付软件费用（</t>
    </r>
    <r>
      <rPr>
        <sz val="9"/>
        <color rgb="FF00D09B"/>
        <rFont val="微软雅黑"/>
        <family val="2"/>
        <charset val="134"/>
      </rPr>
      <t>完成</t>
    </r>
    <r>
      <rPr>
        <sz val="9"/>
        <color rgb="FF000000"/>
        <rFont val="微软雅黑"/>
        <family val="2"/>
      </rPr>
      <t>）
2、霍尼韦尔软件支付准备（</t>
    </r>
    <r>
      <rPr>
        <sz val="9"/>
        <color rgb="FFFF8700"/>
        <rFont val="微软雅黑"/>
        <family val="2"/>
        <charset val="134"/>
      </rPr>
      <t>进行中</t>
    </r>
    <r>
      <rPr>
        <sz val="9"/>
        <color rgb="FF000000"/>
        <rFont val="微软雅黑"/>
        <family val="2"/>
      </rPr>
      <t>）
属地准备：
1、芮城：推进网闸采购工作（</t>
    </r>
    <r>
      <rPr>
        <sz val="9"/>
        <color rgb="FFFF8700"/>
        <rFont val="微软雅黑"/>
        <family val="2"/>
        <charset val="134"/>
      </rPr>
      <t>进行中</t>
    </r>
    <r>
      <rPr>
        <sz val="9"/>
        <color rgb="FF000000"/>
        <rFont val="微软雅黑"/>
        <family val="2"/>
      </rPr>
      <t>）
2、添加剂：
   安徽圣奥：12.3计划组织用户培训（</t>
    </r>
    <r>
      <rPr>
        <sz val="9"/>
        <color rgb="FF00D09B"/>
        <rFont val="微软雅黑"/>
        <family val="2"/>
        <charset val="134"/>
      </rPr>
      <t>完成</t>
    </r>
    <r>
      <rPr>
        <sz val="9"/>
        <color rgb="FF000000"/>
        <rFont val="微软雅黑"/>
        <family val="2"/>
      </rPr>
      <t>）
   山东圣奥：报警点位组态，层级组态，权限配置（</t>
    </r>
    <r>
      <rPr>
        <sz val="9"/>
        <color rgb="FF00D09B"/>
        <rFont val="微软雅黑"/>
        <family val="2"/>
        <charset val="134"/>
      </rPr>
      <t>完成</t>
    </r>
    <r>
      <rPr>
        <sz val="9"/>
        <color rgb="FF000000"/>
        <rFont val="微软雅黑"/>
        <family val="2"/>
      </rPr>
      <t>）
   泰安圣奥：报警点位组态，层级组态，权限配置（</t>
    </r>
    <r>
      <rPr>
        <sz val="9"/>
        <color rgb="FF00D09B"/>
        <rFont val="微软雅黑"/>
        <family val="2"/>
        <charset val="134"/>
      </rPr>
      <t>完成</t>
    </r>
    <r>
      <rPr>
        <sz val="9"/>
        <color rgb="FF000000"/>
        <rFont val="微软雅黑"/>
        <family val="2"/>
      </rPr>
      <t>）
   富比亚：软件授权采购谈判（进行中）
   淮河化工：报警点位组态，层级组态，权限配置（</t>
    </r>
    <r>
      <rPr>
        <sz val="9"/>
        <color rgb="FF00D09B"/>
        <rFont val="微软雅黑"/>
        <family val="2"/>
        <charset val="134"/>
      </rPr>
      <t>完成</t>
    </r>
    <r>
      <rPr>
        <sz val="9"/>
        <color rgb="FF000000"/>
        <rFont val="微软雅黑"/>
        <family val="2"/>
      </rPr>
      <t>）
   河北三家：网闸，服务器，授权采购中，预计12.10到货（</t>
    </r>
    <r>
      <rPr>
        <sz val="9"/>
        <color rgb="FFFF8700"/>
        <rFont val="微软雅黑"/>
        <family val="2"/>
        <charset val="134"/>
      </rPr>
      <t>进行中</t>
    </r>
    <r>
      <rPr>
        <sz val="9"/>
        <color rgb="FF000000"/>
        <rFont val="微软雅黑"/>
        <family val="2"/>
      </rPr>
      <t>）
3、事业部：
1、推进多因子集成开发（</t>
    </r>
    <r>
      <rPr>
        <sz val="9"/>
        <color rgb="FF00D09B"/>
        <rFont val="微软雅黑"/>
        <family val="2"/>
        <charset val="134"/>
      </rPr>
      <t>完成</t>
    </r>
    <r>
      <rPr>
        <sz val="9"/>
        <color rgb="FF000000"/>
        <rFont val="微软雅黑"/>
        <family val="2"/>
      </rPr>
      <t>）
2、芮城网页访问测试（</t>
    </r>
    <r>
      <rPr>
        <sz val="9"/>
        <color rgb="FF00D09B"/>
        <rFont val="微软雅黑"/>
        <family val="2"/>
        <charset val="134"/>
      </rPr>
      <t>完成</t>
    </r>
    <r>
      <rPr>
        <sz val="9"/>
        <color rgb="FF000000"/>
        <rFont val="微软雅黑"/>
        <family val="2"/>
      </rPr>
      <t>）
3、多因子账户权限及报警系统权限配置，泰安，集团，安徽，富比亚（</t>
    </r>
    <r>
      <rPr>
        <sz val="9"/>
        <color rgb="FF00D09B"/>
        <rFont val="微软雅黑"/>
        <family val="2"/>
        <charset val="134"/>
      </rPr>
      <t>完成</t>
    </r>
    <r>
      <rPr>
        <sz val="9"/>
        <color rgb="FF000000"/>
        <rFont val="微软雅黑"/>
        <family val="2"/>
      </rPr>
      <t>）</t>
    </r>
  </si>
  <si>
    <r>
      <rPr>
        <sz val="9"/>
        <color rgb="FF000000"/>
        <rFont val="微软雅黑"/>
        <family val="2"/>
      </rPr>
      <t>商务部分：
1、霍尼韦尔软件支付准备（</t>
    </r>
    <r>
      <rPr>
        <sz val="9"/>
        <color rgb="FFFF8700"/>
        <rFont val="微软雅黑"/>
        <family val="2"/>
        <charset val="134"/>
      </rPr>
      <t>进行中</t>
    </r>
    <r>
      <rPr>
        <sz val="9"/>
        <color rgb="FF000000"/>
        <rFont val="微软雅黑"/>
        <family val="2"/>
      </rPr>
      <t>）
属地准备：
1、芮城：推进网闸采购工作（</t>
    </r>
    <r>
      <rPr>
        <sz val="9"/>
        <color rgb="FFFF8700"/>
        <rFont val="微软雅黑"/>
        <family val="2"/>
        <charset val="134"/>
      </rPr>
      <t>厂家已发货</t>
    </r>
    <r>
      <rPr>
        <sz val="9"/>
        <color rgb="FF000000"/>
        <rFont val="微软雅黑"/>
        <family val="2"/>
      </rPr>
      <t>）
2、添加剂：
   安徽圣奥：用户试用（</t>
    </r>
    <r>
      <rPr>
        <sz val="9"/>
        <color rgb="FFFF8700"/>
        <rFont val="微软雅黑"/>
        <family val="2"/>
        <charset val="134"/>
      </rPr>
      <t>进行中</t>
    </r>
    <r>
      <rPr>
        <sz val="9"/>
        <color rgb="FF000000"/>
        <rFont val="微软雅黑"/>
        <family val="2"/>
      </rPr>
      <t>）
   山东圣奥：用户现场回访培训，用户试用（</t>
    </r>
    <r>
      <rPr>
        <sz val="9"/>
        <color rgb="FF00D09B"/>
        <rFont val="微软雅黑"/>
        <family val="2"/>
        <charset val="134"/>
      </rPr>
      <t>完成</t>
    </r>
    <r>
      <rPr>
        <sz val="9"/>
        <color rgb="FF000000"/>
        <rFont val="微软雅黑"/>
        <family val="2"/>
      </rPr>
      <t>）
   泰安圣奥：12.10计划安排现场上午培训（</t>
    </r>
    <r>
      <rPr>
        <sz val="9"/>
        <color rgb="FF00D09B"/>
        <rFont val="微软雅黑"/>
        <family val="2"/>
        <charset val="134"/>
      </rPr>
      <t>完成</t>
    </r>
    <r>
      <rPr>
        <sz val="9"/>
        <color rgb="FF000000"/>
        <rFont val="微软雅黑"/>
        <family val="2"/>
      </rPr>
      <t>）
   富比亚：软件授权采购谈判（</t>
    </r>
    <r>
      <rPr>
        <sz val="9"/>
        <color rgb="FFFF8700"/>
        <rFont val="微软雅黑"/>
        <family val="2"/>
        <charset val="134"/>
      </rPr>
      <t>审批中</t>
    </r>
    <r>
      <rPr>
        <sz val="9"/>
        <color rgb="FF000000"/>
        <rFont val="微软雅黑"/>
        <family val="2"/>
      </rPr>
      <t>）
   淮河化工：用户试用（</t>
    </r>
    <r>
      <rPr>
        <sz val="9"/>
        <color rgb="FFFF8700"/>
        <rFont val="微软雅黑"/>
        <family val="2"/>
        <charset val="134"/>
      </rPr>
      <t>进行中</t>
    </r>
    <r>
      <rPr>
        <sz val="9"/>
        <color rgb="FF000000"/>
        <rFont val="微软雅黑"/>
        <family val="2"/>
      </rPr>
      <t>）
   河北三家：网闸，服务器，授权采购中，预计12.10到货（</t>
    </r>
    <r>
      <rPr>
        <sz val="9"/>
        <color rgb="FFFF8700"/>
        <rFont val="微软雅黑"/>
        <family val="2"/>
        <charset val="134"/>
      </rPr>
      <t>进行中</t>
    </r>
    <r>
      <rPr>
        <sz val="9"/>
        <color rgb="FF000000"/>
        <rFont val="微软雅黑"/>
        <family val="2"/>
      </rPr>
      <t>）
3、事业部：
1、多因子账户权限及报警系统权限配置，淮河，曹县等（</t>
    </r>
    <r>
      <rPr>
        <sz val="9"/>
        <color rgb="FFFF8700"/>
        <rFont val="微软雅黑"/>
        <family val="2"/>
        <charset val="134"/>
      </rPr>
      <t>进行中</t>
    </r>
    <r>
      <rPr>
        <sz val="9"/>
        <color rgb="FF000000"/>
        <rFont val="微软雅黑"/>
        <family val="2"/>
      </rPr>
      <t>）</t>
    </r>
  </si>
  <si>
    <r>
      <rPr>
        <sz val="9"/>
        <color rgb="FF000000"/>
        <rFont val="微软雅黑"/>
        <family val="2"/>
      </rPr>
      <t>商务部分：
1、霍尼韦尔软件支付尾款（</t>
    </r>
    <r>
      <rPr>
        <sz val="9"/>
        <color rgb="FF00D09B"/>
        <rFont val="微软雅黑"/>
        <family val="2"/>
        <charset val="134"/>
      </rPr>
      <t>完成</t>
    </r>
    <r>
      <rPr>
        <sz val="9"/>
        <color rgb="FF000000"/>
        <rFont val="微软雅黑"/>
        <family val="2"/>
      </rPr>
      <t>）
属地准备：
1、芮城：网闸已到货，网闸配置，网络调试（</t>
    </r>
    <r>
      <rPr>
        <sz val="9"/>
        <color rgb="FF00D09B"/>
        <rFont val="微软雅黑"/>
        <family val="2"/>
        <charset val="134"/>
      </rPr>
      <t>完成</t>
    </r>
    <r>
      <rPr>
        <sz val="9"/>
        <color rgb="FF000000"/>
        <rFont val="微软雅黑"/>
        <family val="2"/>
      </rPr>
      <t>）
2、添加剂：
   安徽圣奥：用户上线试用（</t>
    </r>
    <r>
      <rPr>
        <sz val="9"/>
        <color rgb="FFFF8700"/>
        <rFont val="微软雅黑"/>
        <family val="2"/>
        <charset val="134"/>
      </rPr>
      <t>进行中</t>
    </r>
    <r>
      <rPr>
        <sz val="9"/>
        <color rgb="FF000000"/>
        <rFont val="微软雅黑"/>
        <family val="2"/>
      </rPr>
      <t>）
   山东圣奥：用户上线试用（</t>
    </r>
    <r>
      <rPr>
        <sz val="9"/>
        <color rgb="FFFF8700"/>
        <rFont val="微软雅黑"/>
        <family val="2"/>
        <charset val="134"/>
      </rPr>
      <t>进行中</t>
    </r>
    <r>
      <rPr>
        <sz val="9"/>
        <color rgb="FF000000"/>
        <rFont val="微软雅黑"/>
        <family val="2"/>
      </rPr>
      <t>）
   泰安圣奥：用户上线试用（</t>
    </r>
    <r>
      <rPr>
        <sz val="9"/>
        <color rgb="FFFF8700"/>
        <rFont val="微软雅黑"/>
        <family val="2"/>
        <charset val="134"/>
      </rPr>
      <t>进行中</t>
    </r>
    <r>
      <rPr>
        <sz val="9"/>
        <color rgb="FF000000"/>
        <rFont val="微软雅黑"/>
        <family val="2"/>
      </rPr>
      <t>）
   富比亚：软件授权到货，报警collector采集接口调试（</t>
    </r>
    <r>
      <rPr>
        <sz val="9"/>
        <color rgb="FF00D09B"/>
        <rFont val="微软雅黑"/>
        <family val="2"/>
        <charset val="134"/>
      </rPr>
      <t>完成</t>
    </r>
    <r>
      <rPr>
        <sz val="9"/>
        <color rgb="FF000000"/>
        <rFont val="微软雅黑"/>
        <family val="2"/>
      </rPr>
      <t>）
                 网络端口测试不通，WEB展示层规则文件编制，展示层级组态（</t>
    </r>
    <r>
      <rPr>
        <sz val="9"/>
        <color rgb="FFFF8700"/>
        <rFont val="微软雅黑"/>
        <family val="2"/>
        <charset val="134"/>
      </rPr>
      <t>进行中</t>
    </r>
    <r>
      <rPr>
        <sz val="9"/>
        <color rgb="FF000000"/>
        <rFont val="微软雅黑"/>
        <family val="2"/>
      </rPr>
      <t>）
   淮河化工：用户上线试用（</t>
    </r>
    <r>
      <rPr>
        <sz val="9"/>
        <color rgb="FFFF8700"/>
        <rFont val="微软雅黑"/>
        <family val="2"/>
        <charset val="134"/>
      </rPr>
      <t>进行中</t>
    </r>
    <r>
      <rPr>
        <sz val="9"/>
        <color rgb="FF000000"/>
        <rFont val="微软雅黑"/>
        <family val="2"/>
      </rPr>
      <t>）
   河北三家：滏恒，鑫宝AM数据采集正常（</t>
    </r>
    <r>
      <rPr>
        <sz val="9"/>
        <color rgb="FF00D09B"/>
        <rFont val="微软雅黑"/>
        <family val="2"/>
        <charset val="134"/>
      </rPr>
      <t>完成</t>
    </r>
    <r>
      <rPr>
        <sz val="9"/>
        <color rgb="FF000000"/>
        <rFont val="微软雅黑"/>
        <family val="2"/>
      </rPr>
      <t>）
3、事业部：
1、多因子账户权限及报警系统权限配置，曹县更新清单（</t>
    </r>
    <r>
      <rPr>
        <sz val="9"/>
        <color rgb="FF00D09B"/>
        <rFont val="微软雅黑"/>
        <family val="2"/>
        <charset val="134"/>
      </rPr>
      <t>完成</t>
    </r>
    <r>
      <rPr>
        <sz val="9"/>
        <color rgb="FF000000"/>
        <rFont val="微软雅黑"/>
        <family val="2"/>
      </rPr>
      <t xml:space="preserve">）
</t>
    </r>
  </si>
  <si>
    <t>属地准备：
1、芮城：网闸已到货，网闸配置，网络调试（完成），数据采集，网页组态（完成）
2、添加剂：
   安徽圣奥：用户上线试用，部分乱码显示乱问问题正在处理（进行中）
   山东圣奥：用户上线试用（进行中）
   泰安圣奥：用户上线试用，OPC事件无法采集现场处理（完成）
   富比亚： 网络端口测试，WEB展示层规则文件编制，展示层级组态（完成）
   淮河化工：用户上线试用（进行中）
   河北三家：鑫宝OPC事件采集（完成），WEB组态配置（进行中）
3、账户权限：曹县用户多因子及报警系统账户权限配置（进行中）
事业部：
1、上线前测试，基础架构团队负责，目前已提交所有材料，测试预计一周（进行中）</t>
  </si>
  <si>
    <t>1、推进自建双重预防系统企业重新推送隐患相关数据工作
2、协调处理安徽圣奥人员定位离线故障
3、处理监控组不能访问圣奥人员定位、事业部HSE系统问题
4、添加剂领导层报警系统培训周六完成
5、解决鑫宝，安徽描述乱码的问题
6、报警优先级已修订的（安徽，富比亚，泰安，河北三家），其余未提供优先级对照关系</t>
  </si>
  <si>
    <t>中化河北MES系统项目（不跟踪）</t>
  </si>
  <si>
    <t>孙沛峰</t>
  </si>
  <si>
    <t>完成率100%；</t>
  </si>
  <si>
    <t>1、 质量原始记录模版组态
2、物料管理的组态
3、 能源管理组态
4、用户台账测试
5、 产品出厂流程测试
6、滏鼎报警事件数据采集测试</t>
  </si>
  <si>
    <t>1、原材料采购进厂全业务流程用户测试
2、产品发货全业务流程用户测试
3、滏鼎报警管理数据采集，组态
4、PHD软件安装
5、Uniformance insight 软件安装
6、原材料质量检验全流程用户测试
7、 产品质量检验全流程用户测试
8、 OPC网关到货、调试
9、设备动态监视硬件到货、调试准备
10、滏恒、滏鼎、鑫宝数据采集服务器与测试环境MES网络通讯调试。</t>
  </si>
  <si>
    <t>1、原材料采购进厂业务流程用户测试
2、产品发货全业务流程用户测试
3、滏鼎报警管理数据采集和组态
4、PHD软件安装
5、Uniformance Insight软件安装
6、原材料质量检验全流程用户测试
7、产品质量检验全流程测用户测试
8、OPC网关调试
9、设备动态监视硬件到货、调试准备
10、鑫宝、滏恒、滏鼎数据采集服务器与测试环境MES网络通讯调试</t>
  </si>
  <si>
    <t>1、生产环境与PHD通信调试
2、测试环境与PHD通信调试，MES可获取PHD数据
3、生产环境web服务器加入YNMES域控
4、HSE、地磅系统网络通信正常
5、HSE接口调试
6、地磅接口调试
7、鑫宝DCS数据采集验证
8、鑫宝报警事件采集数据验证
9、Uniformance insight 软件安装
10、鑫宝网闸、防火墙联调
11、质检模块试运行（包括中控送样扫描）</t>
  </si>
  <si>
    <t>1、装置计量组态，能源管理组态，下周完成
2、设备动态监视，安装完成，系统组态调试
3、色谱仪数据采集调试
4、HSE接口调试，上周未完成工作
5、地磅接口调试，上周未完成工作
6、Uniformance insight 动态图更新。
7、质检模块试运行（全数据录入）
8、多因子登录mes测试</t>
  </si>
  <si>
    <t>1、10+套色谱数据采集联调测试完成
2、自定义报表功能测试
3、设备监视单点登录
4、工艺台账功能测试
5、HSE接口调试，上周未完成工作
6、Uniformance insight 动态图更新。
7、多因子登录MES组态
8、操作指标监控组态</t>
  </si>
  <si>
    <t>1、滏恒、滏鼎DCS数据组态
2、滏恒、滏鼎工艺指标组态
3、滏恒、滏鼎自控率组态
4、滏恒、滏鼎联锁率组态
5、滏恒设备动态监视培训
6、鑫宝小时台账组态
7、SAP接口测试
8、物料进厂业务全流程测试
9、剩余色谱数据采集。
10、出厂流程测试。</t>
  </si>
  <si>
    <r>
      <t xml:space="preserve">1、滏恒、滏鼎DCS数据组态
2、滏恒、滏鼎工艺指标组态
3、滏恒、滏鼎自控率组态
4、滏恒、滏鼎联锁率组态
5、滏恒设备动态监视培训
6、鑫宝小时台账指标目标值核对
7、物料进厂业务全流程测试
8、色谱数据采集功能优化
</t>
    </r>
    <r>
      <rPr>
        <sz val="9"/>
        <color rgb="FFFF0000"/>
        <rFont val="微软雅黑"/>
        <family val="2"/>
      </rPr>
      <t>明确春节前后的工作计划。</t>
    </r>
  </si>
  <si>
    <t>系统测试</t>
  </si>
  <si>
    <t>数据展示和培训</t>
  </si>
  <si>
    <t xml:space="preserve">1、完成大屏展示的制作并上线。
2、完成测试环境向生产环境迁移，生产环境上线。
3、完成SAP和MES接口开发测试。
4、完成进出厂接口开发和测试
</t>
  </si>
  <si>
    <t xml:space="preserve">1、小时台账、喹啉精制操作记录、初馏装置操作记录表等测试监测校准结果
2、工艺流程图的绘制
3、进出厂流程测试
4、按照实际生产业务在MES系统中排程测试
</t>
  </si>
  <si>
    <t>1、采购到厂：自动同步SAP，采购订单，按照实际业务创建到厂计划
2、产品发货：自动同步SAP外向交货单，按照实际业务创建到厂计划
3、生产排程：自动同步SAP生产订单，每天按照实际业务备货，排程
4、生产任务执行：每天按照实际生产订订单下线量，贴码，扫码。
5、产品入库：每天按照实际业务确认产品入库数量
6、产品拣配：桶装扫码发货，其他按照数量发货
7、质量检验：原料自动触发送检、质量检验；产品发货自动送检，生成COA；生产下线自动送检，产品检验
8、交接班日志：初馏、精制、仓管每班填写交接班日志
9、装置计量：每班确认装置计量消耗和库存数据，每班提交
10、能源计量：每班填写能源计量数据</t>
  </si>
  <si>
    <t xml:space="preserve">1、召开系统上线会，MES上线动员。
2、MES物料管理、UI、操作监视、交接班日志培训
3、MES试运行技术支持和问题处理
4、表单数据核对。
5、对各工厂权限和功能进行划分
</t>
  </si>
  <si>
    <t>各功能模块的数据验证和功能实操，收集问题及时处置；各单位权限调整划分完成</t>
  </si>
  <si>
    <r>
      <t xml:space="preserve">本周继续对系统进行实操，并对出现的问题进行收集和处置，重点对进出厂模块问题进行解决。磅房服务器更换和厂区其他区域WIFI的部署。
</t>
    </r>
    <r>
      <rPr>
        <sz val="9"/>
        <color rgb="FFFF0000"/>
        <rFont val="微软雅黑"/>
        <family val="2"/>
      </rPr>
      <t>重点关注应用效果。</t>
    </r>
  </si>
  <si>
    <t>继续对各功能模块进行实操并收集发现的问题及时处置。做好问题跟踪，继续优化进出厂流程</t>
  </si>
  <si>
    <t>1、继续对系统使用发现的问题进行收集和处置和优化。2、门禁系统升级</t>
  </si>
  <si>
    <t>继续对系统使用发现的问题进行收集和处置和优化，测试VOC设备5G卡连接</t>
  </si>
  <si>
    <t>1、继续解决使用中发现的问题 2、5G卡因配置问题需更换重新发货，计划下周到货后再进行测试 3、滏恒动设备监测再次培训计划周三进行 4、滏鼎质量管理再次培训计划本周进行</t>
  </si>
  <si>
    <t>1、报警系统现场交流讨论
2、VOC5G卡安装调试
3、继续解决使用中发现的问题</t>
  </si>
  <si>
    <t>1、本周完成原料进厂功能测试、产品发货业务功能测试、生产订单创建功能测试、生产订单排程功能测试、质量管理原始记录清单梳理、能源管理功能测试、自定义台账功能测试。
2、产品下线入库和PHD软件安装进行中。
3、 客户信息组态已完成。
4、鑫宝PHD服务器和Buffer已到货并完成软件安装，鑫宝报警采集软件数据采集完成。
5、滏恒动设备动态监测探头位置和安装点位及网络完成部署前现场勘测，已确定施工方案。两台网闸已沟通厂家在没有完成合同情况下于下周一先行发货。网络设备和服务器延期，目前正抓紧相关采购流程的推进
6、SAP与MES接口完成对接沟通，已进入合同签订流程。
7、滏鼎数据采集网络部署已调通，接口已测试成功</t>
  </si>
  <si>
    <t>1、MES与HSE接口开发已完成：车辆到厂计划接口-MES发送端开发、车辆进出厂状态接口-MES接收端开发、盲板数据接口-MES接收端开发、MES与地磅接口开发、车辆到厂计划接口-MES发送端开发、地磅数据接口-MES接收端开发
2、功能开发已完成：原始记录复核提醒功能、检验分析项规格上下限边界值判定功能、根据编码规则自动生成质量编码、页面自动刷新功能
3、本周系统组态已完成：质量模块组态：完成检验项配置：95 个、完成原始记录模板配置：36 个、完成模板字段配置：827 项、完成公式配置：43 项、完成采样点配置：61 个、完成分析项配置：510 项、能源模块组态完成能流点配置：102 个
4、设备动态监视：电源网线光纤电源线已到货、防爆箱位置确认已完成
5、OPC网关鑫宝已到货、网闸已到货，生产环境安装账号已配置完成</t>
  </si>
  <si>
    <t>1、鑫宝OPC网关DA组和AE组态完成，目前正进行数据验证
2、PHD主服务器软件安装组态完成
3、鑫宝Buffer PHD和报警软件安装、组态完成
4、滏恒bufferPHD和报警软件安装、组态完成
5、数据采集接口组态完成
6、鑫宝DCS数据采集组态已完成，目前采集了1970+位号
7、Uniformance insight 测试环境安装已完成
8、鑫宝PHD和buffer间网闸调试进行中
9、生产环境OM，UI 单点登录环境准备进行中
10、HSE接口、地磅接口开发完成，色谱仪数据采集接口开发中
11、动设备监测完成化三、化四区域的布线、挂箱和传感器安装。
12、滏恒服务器、动设备传感器、光缆到货，已开始网络布线和传感器安装</t>
  </si>
  <si>
    <t>1、 鑫宝PHD和buffer网闸调试完成
2、生产环境MES与PHD 防火墙调试完成
3、测试环境MES与PHD 防火墙调试完成
4、报警管理采集网络调试完成
5、实验室色谱终端与测试MES 网络调试进行中
6、动设备传感器安装80个，详见清单。4个无法安装
7、滏恒DCS 6个网关DA数据全部完成
8、滏恒DCS1个AE数据采集完成，其余5个调试中
9、滏鼎2套DCS完成1条数据接口，1套调试中
10、HSE接口和地磅接口调试延期
11、中控质检试运行，优化进行中目前已生成了133个报告：92个采样点，49个没问题，其余再测试
12、有固定频率的中控没有问题，频次不固定的采用手工创建的方法
13、UI安装，数据源配置完成
14、OM 安装，数据源配置完成
15、装置物料数据采集正常，更新物料计量点
16、装置能源数据采集正常，更新能源计量点
17、储罐计量组态，进行中</t>
  </si>
  <si>
    <t>1、滏恒设备监视组态、培训完成
2、滏恒6套DCS接口、滏鼎2套DCS、三家工厂报警管理组态完成
3、鑫宝PHD数据采集更新2400+ 完成
4、动设备传感器安装完成
5、滏恒滏鼎DCS DA AE数据采集调试全部完成
6、HSE接口调试延期
7、地磅接口调试完成
8、质检数据采集接口进行中</t>
  </si>
  <si>
    <t>1、本周完成装置仪表记录数据验证
2、本周完成投入产出数据验证
3、本周完成储罐记录数据验证
4、本周已完成鑫宝工艺指标监视
5、本周已完成鑫宝自控率组态
6、本周已完成鑫宝联锁率组
7、本周已完成吲哚小时台账
8、本周完成7台色谱数据采集
9、本周完成HSE接口调试</t>
  </si>
  <si>
    <t>1、MES、HSE、门禁、地磅进厂全业务流程自动流转调试
2、SAP接口测试
3、色谱数据采集
4、设备动态监视培训，现场检测
5、盲板台账接口测试、盲板台账
6、盲板动态跟踪大屏
7、生产排程业务测试
8、出厂业务测试</t>
  </si>
  <si>
    <t>1、滏恒、滏鼎phd点组态
2、出厂业务流程测试
春节放假</t>
  </si>
  <si>
    <t>1、制定测试计划。2、测试开通河北本部访问MES和报警系统权限</t>
  </si>
  <si>
    <t xml:space="preserve">1、MES系统生产日报、调度日报、成本管理、大屏看板数据集制作。
2、MES系统进出厂测试。
3、PHD、操作监控、交接班日志、UI流程图、物料管理、能源管理、进出厂管理、小时台帐、自定义台帐报表的培训
4、MES测试环境向生产环境迁移。
5、SAP采购订单推送功能接口、内向交货单推送功能接口、外向交货单推送功能接口完成开发和测试
</t>
  </si>
  <si>
    <t xml:space="preserve">1、SAP与MES接口开发测试完成
2、完成部分进出厂业务开发
3、MES系统完成从测试环境向生产环境切换
4、T会完成部分数据集开发
5、能源管理完成碳排放计算和综合能耗计算、能源绩效分析指标、排放指标、
能源功能更新。
6、生产计划&amp;排程完成年月日计划生成、审批、发布、分解
7、培训完成：PHD培训、物料管理、能源管理、进出厂管理、小时台账、自定义台账、
自定义报表的培训
8、质量管理：完成一种原料或产品对应多个检验标准的开发
</t>
  </si>
  <si>
    <r>
      <t>1、SAP与MES系统接口：完成SAP销售订单同步到MES，SAP外向交货单同步到MES。
2、功能优化方面：进出厂业务完成每天业务作业验证，一辆车发装多个发货单，返工出入库作业，T2会议报告，能源功能分摊、平衡、日统计优化装置计量投入产出日报。
3、指标监控完成鑫宝工艺指标更新，滏鼎滏恒工艺指标组态，小时台帐更新。
4、调度管理完成工艺指标参数调整和工作指令
5、异常管理完成OM指标、PHD、SQL
6、微信通知完成OM指标、中控指标</t>
    </r>
    <r>
      <rPr>
        <b/>
        <sz val="9"/>
        <color rgb="FFFD4147"/>
        <rFont val="微软雅黑"/>
        <family val="2"/>
      </rPr>
      <t>（是否涉及敏感数据外发）</t>
    </r>
    <r>
      <rPr>
        <sz val="11"/>
        <color rgb="FF000000"/>
        <rFont val="微软雅黑"/>
        <family val="2"/>
      </rPr>
      <t xml:space="preserve">
7、每天核对生产日报数据与MES数据差异</t>
    </r>
  </si>
  <si>
    <t xml:space="preserve">1、滏恒各车间小时台帐配置完成。
2、滏恒滏鼎质量操作培训完成。
3、DCS OPC组态培训完成。
4、生产排程组态、使用培训完成。
5、滏恒滏鼎平稳率组态完成。
6、安全审计已完成首次安全审计和渗透测试，并按照结果进行整改。
7、本周继续对各功能模块进行测试并对运行情况进行统计。
</t>
  </si>
  <si>
    <t>1、3月12日召开系统上线动员会，系统正式上线。
2、各岗位对功能模块进行实操和数据验证，每日上报验证情况。
3、完成物料、UI、操作等培训。
4、各单位权限调整划分中。</t>
  </si>
  <si>
    <t>本周重点对各功能模块实操并对数据进行对比，对出现的问题及时处置，权限划分调整中，已完成仓库区域WIFI部署，对滏恒滏鼎质量管理操作人员进行了培训</t>
  </si>
  <si>
    <t>本周继续对系统各模块进行实操并及时解决发现的问题。进出厂增加了限制模式，减少错误录入出现。持续监测各模块使用和完成情况并在周会中进行发布，敦促操作人员使用。WIFI 已完成大部分厂区的布线，磅房服务器完成更换</t>
  </si>
  <si>
    <t>本周继续对各模块实操并及时解决发现的问题，主要改进以下方面：1.环保数据接口的开发。2.HJ/T212协议解析算法的优化。支持HJ/T212-2005和HJ/T212-2017新老两种协议。支持同一报文包含多个监测点数据的编码解析。鑫宝厂区内WIFI已部署完成。</t>
  </si>
  <si>
    <r>
      <t xml:space="preserve">1、进出厂管理：解决所有涉及质量状态的页面，下拉均显示英文的问题。生成发货计划时，增加默认选择【槽车发货-质检】功能。发货作业完成页面-解决表头上的计划量与明细上的计划量不一致问题
2、库存管理：库存初始化调整，除工业芴意外所有库存已调整完毕；入库操作（扫码）-增加手动入库时，如果不输入条码，不允许保存数据页面；增加手动入库修改批次时同步修改扫码记录与标签档案功能。
3、质量管理：增加开关控制 “允许&lt;检验完成&gt;状态的样品检验也可以退回到&lt;待复核&gt;状态” 功能的打开和关闭；增加报表&lt;技术中心班组月检验次数统计&gt;。
4、排程任务-增加显示【包装形式】字段。T会-修改T会报表错误数据。
5、门禁系统升级完成，单据锁定完成。
</t>
    </r>
    <r>
      <rPr>
        <sz val="9"/>
        <color rgb="FFFF0000"/>
        <rFont val="微软雅黑"/>
        <family val="2"/>
      </rPr>
      <t>滏恒、滏鼎应用推进不充分。</t>
    </r>
  </si>
  <si>
    <t>1.生产排程-排程执行-解决解绑二维码后，已包装量仍显示数量的功能问题
2.生产排程-排程执行页面-解决库存表和实际表物料编码不一样了，导致出库时无法出库问题
3.出厂管理-扫码出库-解决工业苊扫码不出库识别问题
4.出厂管理-发货作业上传-解决计划量和结算量，单位，地磅量，不显示数据问题
5.生产排程-包装结果确认-数量是0的，不允许提交【确认入库】按钮，问题
6.SAP上传-召开会议讨论方案。
7.质量模块-鑫宝-样品留样标签样式优化
8.质量模块-滏恒-样品登记功能中原材料供应商和产成品数量关联逻辑优化
9.质量模块-滏恒-检验报告模板配置以及SPC分析功能操作培训
10.数据集成-鑫宝-环保数据发送端网络调试，数据接收端程序部署和测试
11.投入产出：修改了获取地磅数据的范围，不包含包装物的地磅数据</t>
  </si>
  <si>
    <t>1.滏恒滏鼎再次对质量和设备监测培训，仓储流程梳理，sap报工二期接口沟通
2.卓越运营T会模板修订改善，提高现场的符合度。
3.质量模块-鑫宝-质量证明单(COA)与产品出厂数据自动关联
4.质量模块-鑫宝-正态分布直方图显示每组的样本值范围
5.质量模块-鑫宝-优化SPC分析控制图样式
6.进出厂模块-鑫宝-增加固体包装类产品出厂预拣配功能</t>
  </si>
  <si>
    <t>中化河北HSE优化-不跟踪</t>
  </si>
  <si>
    <t>尽快验收；乙方人员是否还在现场？</t>
  </si>
  <si>
    <t>其他模块继续开发中</t>
  </si>
  <si>
    <t xml:space="preserve">管线打开模块这周开始开发，
统计分析和变更管理随后开发，争取月底前完成
</t>
  </si>
  <si>
    <t>JSA模块：继续开发，没有完全上线，有些内容还在确认；
及时奖励模块：开发并上线。
JCC走动管理：开始研发。</t>
  </si>
  <si>
    <t xml:space="preserve">stop观察、jcc、及时奖励全部上线，试用过程中出现的问题完善；本周jsa模块进入试运行，统计分析，管线打开与关闭开发中，之前上线模块根据试用情况修改；本周深度开发模块，除变更管理外，全部上线，进行试运行阶段
</t>
  </si>
  <si>
    <t>除变更模块其他所有功能已上线，变更模块应公司要求暂停开发</t>
  </si>
  <si>
    <t>【应上尽上】设备-锦湖-不跟踪</t>
  </si>
  <si>
    <t>赵佳</t>
  </si>
  <si>
    <t>1. 锦湖设备主数据维保业务等主数据收集并上传至系统；
2.   SAP、OA相关接口开发；
3. 网络开通、VPN账号收集、申请。</t>
  </si>
  <si>
    <t>1.SAP、OA相关接口开发
2.项目试运行</t>
  </si>
  <si>
    <t>1. 锦湖设备主数据维保业务等主数据收集并上传至系统（完成）；
2. SAP、OA相关接口开发（进行中）；
3. 网络开通、VPN账号收集、申请（完成）。</t>
  </si>
  <si>
    <t>1.项目试运行中
2.已处理5个用户使用问题</t>
  </si>
  <si>
    <t>试运行；待验收。</t>
  </si>
  <si>
    <t>南通星辰生产综合管理平台设备与质量建设（下月不跟踪）</t>
  </si>
  <si>
    <t>总部指标穿透取数；
日成本预测需求</t>
  </si>
  <si>
    <t>1、主数据已接收ERP推送
2、培训、练习
3、中蓝质量数据维护
4、上线过渡阶段策略沟通
5、COA报告打印
1、上线检查清单
2、上线应急策略
3、设备模块上线
4、中蓝质量数据维护</t>
  </si>
  <si>
    <t>_x000D_1、建立紧急联系机制（电话、微信/微信群），先处理问题后保留问题记录
2、问题收集，优化建议在线文档
3、中蓝质量1.6号下午再开展一次培训
4、用户手册提交用户
5、正式环境设备模块存在问题需要处理
6、1~7业务数据补录</t>
  </si>
  <si>
    <t>1、系统上线问题处理
2、生产、设备、质量相关报表开发</t>
  </si>
  <si>
    <t>1.ERP月末结算价对接
2.设备工单成本报表继续开发
3.物料凭证同步，在和化数仓对接</t>
  </si>
  <si>
    <t>1.物料凭证同步，在和化数仓对接完成
2.验收准备</t>
  </si>
  <si>
    <t>1.验收及转运维阶段</t>
  </si>
  <si>
    <t>1、主数据已接收ERP推送（完成）
2、培训、练习（完成）
3、中蓝质量数据维护（进行中）
4、上线过渡阶段策略（完成）：
    4.1设备模块：把SAP月结完的工单关闭，手工记录备件消耗，ERP接口开放后创建工单，补录备件；
    4.2质量模块：手动申请质检，使用临时COA报告打印。
5、COA报告打印（完成）</t>
  </si>
  <si>
    <t>1、建立紧急联系机制（电话、微信/微信群），先处理问题后保留问题记录（完成）
2、问题收集，优化建议在线文档（完成）共收集到30个问题，其中生产模块（16个，已完成11个，进行中4个，未开始1个），设备模块（14个，已完成7个，进行中3个，未开始4个）
3、用户手册提交用户（完成）
4、1~7业务数据补录：设备业务数据已完成64条，质量数据96条</t>
  </si>
  <si>
    <t>1.问题处理
2.设备工单成本报表开发中
3.质量部门提出在车间的物料也需要冻结，因每月冻结次数较低或没有，建议直接在ERP冻结
4.COA报告客户定制化
5.合同签订完成，预付款申请支付中
6.物料凭证同步与化数仓对接中</t>
  </si>
  <si>
    <t>1.设备工单成本报表开发完成上线
2.ERP月末结算价对接完成</t>
  </si>
  <si>
    <t>相关问题已全部解决</t>
  </si>
  <si>
    <r>
      <rPr>
        <sz val="9"/>
        <color rgb="FF000000"/>
        <rFont val="微软雅黑"/>
        <family val="2"/>
      </rPr>
      <t>化工事业部设备管理平台：瑞恒EAM建设</t>
    </r>
  </si>
  <si>
    <t>卢天慧</t>
  </si>
  <si>
    <t>1、提交立项审批流程，并约供应商进行价格谈判。</t>
  </si>
  <si>
    <t xml:space="preserve">1、提交立项审批流程，并约供应商进行价格谈判。
瑞泰：（1）PPM计划试运行、专项设备检测计划试运行；（2）缺陷、密封、腐蚀管理培训，开展资料录入。
瑞祥：ITPM（定期工作事项）计划试运行。
</t>
  </si>
  <si>
    <t>瑞泰：1、PPM计划试运行、专项设备检测计划试运行；_x000D_2、密封、腐蚀管理进行培训，开展资料录入。
瑞祥：1、ITPM计划试运行、检修正式流程试运行；_x000D_2、设备腐蚀、密封模块进行系统基础配置。</t>
  </si>
  <si>
    <t>瑞祥：
1、腐蚀、密封资料进行系统录入；2、资产台账盘点、固资信息进行更新；
瑞泰：
1、密封、腐蚀功能使用手册编制；2、进行试运行目标制定，试运行工作安排；
圣奥：
完成采购申请流程。
总体：
完成单一来源采购谈判准备工作。</t>
  </si>
  <si>
    <t>瑞祥：1、进行移动端的测试；2、进行第二轮系统培训
瑞泰：1、进行VPN申请；2、进行系统培训
总体：采购谈判</t>
  </si>
  <si>
    <t>瑞祥：1、5G网与APP测试；2、系统扩大培训
瑞泰：1、沟通系统各功能业务切换上线策略；2、瑞泰：风险管理功能培训</t>
  </si>
  <si>
    <t>瑞恒：
1、推进设备树优化；
2、点检模块功能上线。
3、备品备件领料模块流程梳理。
瑞祥：
1、系统扩大培训；
瑞泰：
1、风险管理功能培训；
2、系统试运行任务情况统计，功能系统使用问题沟通。</t>
  </si>
  <si>
    <t>瑞恒：
1、设备档案持续完善；
2、点检功能上线准备；
3、进行备品备件方案的评估；
4、进行WMS领料接口集成测试；
瑞祥：系统主要功能试运行和功能总结
瑞泰：检修项目流程沟通，设备维保部针对验收节点提出变更意见
信创改造（顾涛负责）
圣奥EPM迁移。</t>
  </si>
  <si>
    <r>
      <t xml:space="preserve">瑞恒：
1、准备点检功能上线；
2、设备档案持续完善。
瑞祥：
1、5G网络测试，后续上线计划规划
2、缺陷、检修等基础模块试运行及问题总结
瑞泰：
1、入厂和上线工作计划规划
2、专项设备检定计划启动、培训、开始试用；
</t>
    </r>
    <r>
      <rPr>
        <b/>
        <sz val="9"/>
        <color rgb="FF2F5597"/>
        <rFont val="微软雅黑"/>
        <family val="2"/>
      </rPr>
      <t>圣奥：</t>
    </r>
    <r>
      <rPr>
        <sz val="11"/>
        <color rgb="FF000000"/>
        <rFont val="微软雅黑"/>
        <family val="2"/>
      </rPr>
      <t xml:space="preserve">
</t>
    </r>
    <r>
      <rPr>
        <b/>
        <sz val="9"/>
        <color rgb="FF2F5597"/>
        <rFont val="微软雅黑"/>
        <family val="2"/>
      </rPr>
      <t>开展准备</t>
    </r>
  </si>
  <si>
    <t>瑞恒：
1、设备固资台账完善、设备附件完善；
2、点检功能上线；
3、推进OA开发合同签订相关事项；
瑞祥&amp;瑞泰：
1、蓝图方案签字；
2、BOM清单整理；
3、app功能培训；
4、系统功能试用及功能正式上线计划沟通；
圣奥：
1、签订采购合同；
2、编制完成实施计划。</t>
  </si>
  <si>
    <t xml:space="preserve">瑞恒：
1、点检功能试运行计划制定；
2、特种设备台账进行整理导入；
3、沟通瑞祥瑞泰功能，制定模块上线计划；
4、沟通备品备件接口上线计划；
瑞祥：
1、推进系统功能上线运行；_x000D_
2、电气、仪表、基建装置、固资堆场设备台账更新；
3、设备实物档案更新；
4、BOM清单整理；
5、系统主要功能试运行和功能总结
瑞泰：
1、仪表、主设备附属电气设备台账新增、电气专业电气设备、_x000D_压力管道台账新增
2、电气相关功能（电气资料管理、工作任务）沟通、培训使用；
3、与SAP固定资产接口需求梳理及沟通；
圣奥：
商务合同进行审核与确认。
</t>
  </si>
  <si>
    <r>
      <t>瑞恒：
1、准备剩余模块的上线工作；
2、调研委外检修流程在OA审批还是在EAM审批的相关需求；
3、</t>
    </r>
    <r>
      <rPr>
        <sz val="9"/>
        <color rgb="FFFD4147"/>
        <rFont val="微软雅黑"/>
        <family val="2"/>
      </rPr>
      <t>明确完成时间。</t>
    </r>
    <r>
      <rPr>
        <sz val="11"/>
        <color rgb="FF000000"/>
        <rFont val="微软雅黑"/>
        <family val="2"/>
      </rPr>
      <t xml:space="preserve">
瑞祥：
1、推进系统功能上线运行
2、专项设备、特种设备台账导入、检定计划制定
3、台账、ITPM计划等各基础资料新增及更新
4、进行固资台账绑定设备台账导入
5、密封腐蚀台账完善导入，腐蚀计划制定
瑞泰：
1、推进点检标准完善，推进系统功能上线；
3、电气相关功能沟通、制定电气相关业务审批流 ；
3、进行固资台账绑定设备台账导入；
4、缺陷管理、检修计划、风险管理模块与清云系统业务如何切割需要进行讨论；
5、组织集团确定报警区分方式；
6、讨论固定资产与SAP集成的需求；
圣奥：
1、进行商务合同相关流程；
2、技术协议进行最终确认。</t>
    </r>
  </si>
  <si>
    <r>
      <rPr>
        <b/>
        <sz val="9"/>
        <color rgb="FF2F5597"/>
        <rFont val="微软雅黑"/>
        <family val="2"/>
      </rPr>
      <t>瑞恒：</t>
    </r>
    <r>
      <rPr>
        <sz val="11"/>
        <color rgb="FF000000"/>
        <rFont val="微软雅黑"/>
        <family val="2"/>
      </rPr>
      <t xml:space="preserve">
1、跟进点检、缺陷、润滑等功能上线准备工作，预计4.1之前上线；
2、持续进行设备台账固定资产号数据收集；
3、优化工作流程；
4、跟进新版本发布后备品备件接口情况。
</t>
    </r>
    <r>
      <rPr>
        <b/>
        <sz val="9"/>
        <color rgb="FF2F5597"/>
        <rFont val="微软雅黑"/>
        <family val="2"/>
      </rPr>
      <t>瑞祥：</t>
    </r>
    <r>
      <rPr>
        <sz val="11"/>
        <color rgb="FF000000"/>
        <rFont val="微软雅黑"/>
        <family val="2"/>
      </rPr>
      <t xml:space="preserve">
1、推进系统功能上线运行（专业设备、特种设备、腐蚀管理等）
2、电气、仪表、基建装置、固资堆场设备台账持续更新
3、完善专业设备、特种设备台账，检验计划制定
4、进行密封腐蚀台账完善，腐蚀计划制定。
</t>
    </r>
    <r>
      <rPr>
        <b/>
        <sz val="9"/>
        <color rgb="FF2F5597"/>
        <rFont val="微软雅黑"/>
        <family val="2"/>
      </rPr>
      <t>瑞泰：</t>
    </r>
    <r>
      <rPr>
        <sz val="11"/>
        <color rgb="FF000000"/>
        <rFont val="微软雅黑"/>
        <family val="2"/>
      </rPr>
      <t xml:space="preserve">
1、进行仪表、压力容器、构筑物、配电室、电气工器具设备等台账导入；
2、进行仪表、压力容器、防雷接地等设备检验计划制定；
3、进行缺陷管理、检修计划、风险管理模块与清云系统业务切割的讨论；
</t>
    </r>
    <r>
      <rPr>
        <b/>
        <sz val="9"/>
        <color rgb="FF2F5597"/>
        <rFont val="微软雅黑"/>
        <family val="2"/>
      </rPr>
      <t>圣奥：</t>
    </r>
    <r>
      <rPr>
        <sz val="11"/>
        <color rgb="FF000000"/>
        <rFont val="微软雅黑"/>
        <family val="2"/>
      </rPr>
      <t xml:space="preserve">
1、完善计划，进行商务流程。</t>
    </r>
  </si>
  <si>
    <r>
      <rPr>
        <b/>
        <sz val="9"/>
        <color rgb="FF2F5597"/>
        <rFont val="微软雅黑"/>
        <family val="2"/>
      </rPr>
      <t>瑞恒：</t>
    </r>
    <r>
      <rPr>
        <sz val="9"/>
        <color rgb="FF000000"/>
        <rFont val="微软雅黑"/>
        <family val="2"/>
      </rPr>
      <t xml:space="preserve">
1、跟进点检、缺陷、润滑等功能试运行情况；
2、对密封、腐蚀、风险管理功能进行车间试点运行；
3、进行备品备件正式接口的测试；
4、对业务提出的设备事件管理模块的需求进行调研与评估。
</t>
    </r>
    <r>
      <rPr>
        <b/>
        <sz val="9"/>
        <color rgb="FF2F5597"/>
        <rFont val="微软雅黑"/>
        <family val="2"/>
      </rPr>
      <t>瑞祥：</t>
    </r>
    <r>
      <rPr>
        <sz val="9"/>
        <color rgb="FF000000"/>
        <rFont val="微软雅黑"/>
        <family val="2"/>
      </rPr>
      <t xml:space="preserve">
1、风险管理功能推进上线；
</t>
    </r>
    <r>
      <rPr>
        <b/>
        <sz val="9"/>
        <color rgb="FF2F5597"/>
        <rFont val="微软雅黑"/>
        <family val="2"/>
      </rPr>
      <t>瑞泰：</t>
    </r>
    <r>
      <rPr>
        <sz val="9"/>
        <color rgb="FF000000"/>
        <rFont val="微软雅黑"/>
        <family val="2"/>
      </rPr>
      <t xml:space="preserve">
1、进行仪表、安全附件、压力容器设备台账、密封腐蚀台账导入；
2、进行仪表、安全附件、压力容器设备的腐蚀检验计划导入；
3、风险管理模块知识库数据整理、导入、使用培训；
4、蓝图资料进行修订；
</t>
    </r>
    <r>
      <rPr>
        <b/>
        <sz val="9"/>
        <color rgb="FF2F5597"/>
        <rFont val="微软雅黑"/>
        <family val="2"/>
      </rPr>
      <t>圣奥：</t>
    </r>
    <r>
      <rPr>
        <sz val="9"/>
        <color rgb="FF000000"/>
        <rFont val="微软雅黑"/>
        <family val="2"/>
      </rPr>
      <t xml:space="preserve">
准备3月31日启动实施。</t>
    </r>
  </si>
  <si>
    <r>
      <t xml:space="preserve">瑞恒：
</t>
    </r>
    <r>
      <rPr>
        <sz val="9"/>
        <color rgb="FF000000"/>
        <rFont val="微软雅黑"/>
        <family val="2"/>
      </rPr>
      <t>1、整理安全附件并导入；</t>
    </r>
    <r>
      <rPr>
        <sz val="11"/>
        <color rgb="FF000000"/>
        <rFont val="微软雅黑"/>
        <family val="2"/>
      </rPr>
      <t xml:space="preserve">
</t>
    </r>
    <r>
      <rPr>
        <sz val="9"/>
        <color rgb="FF000000"/>
        <rFont val="微软雅黑"/>
        <family val="2"/>
      </rPr>
      <t>2、规划点检、润滑制度并推进执行并优化工作流程；</t>
    </r>
    <r>
      <rPr>
        <sz val="11"/>
        <color rgb="FF000000"/>
        <rFont val="微软雅黑"/>
        <family val="2"/>
      </rPr>
      <t xml:space="preserve">
</t>
    </r>
    <r>
      <rPr>
        <sz val="9"/>
        <color rgb="FF000000"/>
        <rFont val="微软雅黑"/>
        <family val="2"/>
      </rPr>
      <t>3、组织设备员进行密封、腐蚀、风险、领退料功能分享。</t>
    </r>
    <r>
      <rPr>
        <sz val="11"/>
        <color rgb="FF000000"/>
        <rFont val="微软雅黑"/>
        <family val="2"/>
      </rPr>
      <t xml:space="preserve">
</t>
    </r>
    <r>
      <rPr>
        <sz val="9"/>
        <color rgb="FF000000"/>
        <rFont val="微软雅黑"/>
        <family val="2"/>
      </rPr>
      <t>瑞祥：</t>
    </r>
    <r>
      <rPr>
        <sz val="11"/>
        <color rgb="FF000000"/>
        <rFont val="微软雅黑"/>
        <family val="2"/>
      </rPr>
      <t xml:space="preserve">
</t>
    </r>
    <r>
      <rPr>
        <sz val="9"/>
        <color rgb="FF000000"/>
        <rFont val="微软雅黑"/>
        <family val="2"/>
      </rPr>
      <t>1、进行备件管理功能正式系统接口测试，流程配置与功能培训；</t>
    </r>
    <r>
      <rPr>
        <sz val="11"/>
        <color rgb="FF000000"/>
        <rFont val="微软雅黑"/>
        <family val="2"/>
      </rPr>
      <t xml:space="preserve">
</t>
    </r>
    <r>
      <rPr>
        <sz val="9"/>
        <color rgb="FF000000"/>
        <rFont val="微软雅黑"/>
        <family val="2"/>
      </rPr>
      <t>2、进行风险管理功能培训；</t>
    </r>
    <r>
      <rPr>
        <sz val="11"/>
        <color rgb="FF000000"/>
        <rFont val="微软雅黑"/>
        <family val="2"/>
      </rPr>
      <t xml:space="preserve">
</t>
    </r>
    <r>
      <rPr>
        <sz val="9"/>
        <color rgb="FF000000"/>
        <rFont val="微软雅黑"/>
        <family val="2"/>
      </rPr>
      <t>3、制定OPC数据接入计划；</t>
    </r>
    <r>
      <rPr>
        <sz val="11"/>
        <color rgb="FF000000"/>
        <rFont val="微软雅黑"/>
        <family val="2"/>
      </rPr>
      <t xml:space="preserve">
</t>
    </r>
    <r>
      <rPr>
        <sz val="9"/>
        <color rgb="FF000000"/>
        <rFont val="微软雅黑"/>
        <family val="2"/>
      </rPr>
      <t>瑞泰：</t>
    </r>
    <r>
      <rPr>
        <sz val="11"/>
        <color rgb="FF000000"/>
        <rFont val="微软雅黑"/>
        <family val="2"/>
      </rPr>
      <t xml:space="preserve">
</t>
    </r>
    <r>
      <rPr>
        <sz val="9"/>
        <color rgb="FF000000"/>
        <rFont val="微软雅黑"/>
        <family val="2"/>
      </rPr>
      <t>1、周期维护计划全面上线运行；</t>
    </r>
    <r>
      <rPr>
        <sz val="11"/>
        <color rgb="FF000000"/>
        <rFont val="微软雅黑"/>
        <family val="2"/>
      </rPr>
      <t xml:space="preserve">
</t>
    </r>
    <r>
      <rPr>
        <sz val="9"/>
        <color rgb="FF000000"/>
        <rFont val="微软雅黑"/>
        <family val="2"/>
      </rPr>
      <t>2、压力容器，压力管道检验计划全面上线运行；</t>
    </r>
    <r>
      <rPr>
        <sz val="11"/>
        <color rgb="FF000000"/>
        <rFont val="微软雅黑"/>
        <family val="2"/>
      </rPr>
      <t xml:space="preserve">
</t>
    </r>
    <r>
      <rPr>
        <sz val="9"/>
        <color rgb="FF000000"/>
        <rFont val="微软雅黑"/>
        <family val="2"/>
      </rPr>
      <t>3、风险管理功能上线使用；</t>
    </r>
    <r>
      <rPr>
        <sz val="11"/>
        <color rgb="FF000000"/>
        <rFont val="微软雅黑"/>
        <family val="2"/>
      </rPr>
      <t xml:space="preserve">
</t>
    </r>
    <r>
      <rPr>
        <sz val="9"/>
        <color rgb="FF000000"/>
        <rFont val="微软雅黑"/>
        <family val="2"/>
      </rPr>
      <t>4、梳理设备管理要求，落实系统业务数据监督系统应用情况。</t>
    </r>
    <r>
      <rPr>
        <sz val="11"/>
        <color rgb="FF000000"/>
        <rFont val="微软雅黑"/>
        <family val="2"/>
      </rPr>
      <t xml:space="preserve">
</t>
    </r>
    <r>
      <rPr>
        <sz val="9"/>
        <color rgb="FF000000"/>
        <rFont val="微软雅黑"/>
        <family val="2"/>
      </rPr>
      <t>圣奥：</t>
    </r>
    <r>
      <rPr>
        <sz val="11"/>
        <color rgb="FF000000"/>
        <rFont val="微软雅黑"/>
        <family val="2"/>
      </rPr>
      <t xml:space="preserve">
</t>
    </r>
    <r>
      <rPr>
        <sz val="9"/>
        <color rgb="FF000000"/>
        <rFont val="微软雅黑"/>
        <family val="2"/>
      </rPr>
      <t>1、进行项目启动会准备。</t>
    </r>
    <r>
      <rPr>
        <sz val="11"/>
        <color rgb="FF000000"/>
        <rFont val="微软雅黑"/>
        <family val="2"/>
      </rPr>
      <t xml:space="preserve">
</t>
    </r>
    <r>
      <rPr>
        <sz val="9"/>
        <color rgb="FFFF0000"/>
        <rFont val="微软雅黑"/>
        <family val="2"/>
      </rPr>
      <t>2025年重点事项：中间体EPM建设；整体上的AI+场景应用；</t>
    </r>
    <r>
      <rPr>
        <sz val="9"/>
        <color rgb="FFFF0000"/>
        <rFont val="微软雅黑"/>
        <family val="2"/>
      </rPr>
      <t>指标穿透可能提出与设备管理平台的关联需求。</t>
    </r>
  </si>
  <si>
    <r>
      <t xml:space="preserve">瑞恒：
</t>
    </r>
    <r>
      <rPr>
        <sz val="9"/>
        <color rgb="FF000000"/>
        <rFont val="微软雅黑"/>
        <family val="2"/>
      </rPr>
      <t>1、确认项目验收交付文档；</t>
    </r>
    <r>
      <rPr>
        <sz val="11"/>
        <color rgb="FF000000"/>
        <rFont val="微软雅黑"/>
        <family val="2"/>
      </rPr>
      <t xml:space="preserve">
</t>
    </r>
    <r>
      <rPr>
        <sz val="9"/>
        <color rgb="FF000000"/>
        <rFont val="微软雅黑"/>
        <family val="2"/>
      </rPr>
      <t>2、沟通建立系统运维机制；</t>
    </r>
    <r>
      <rPr>
        <sz val="11"/>
        <color rgb="FF000000"/>
        <rFont val="微软雅黑"/>
        <family val="2"/>
      </rPr>
      <t xml:space="preserve">
瑞祥：
</t>
    </r>
    <r>
      <rPr>
        <sz val="9"/>
        <color rgb="FF000000"/>
        <rFont val="微软雅黑"/>
        <family val="2"/>
      </rPr>
      <t>1、推进系统功能上线运行；</t>
    </r>
    <r>
      <rPr>
        <sz val="11"/>
        <color rgb="FF000000"/>
        <rFont val="微软雅黑"/>
        <family val="2"/>
      </rPr>
      <t xml:space="preserve">
</t>
    </r>
    <r>
      <rPr>
        <sz val="9"/>
        <color rgb="FF000000"/>
        <rFont val="微软雅黑"/>
        <family val="2"/>
      </rPr>
      <t>2、风险管理功能模块推进上线使用；</t>
    </r>
    <r>
      <rPr>
        <sz val="11"/>
        <color rgb="FF000000"/>
        <rFont val="微软雅黑"/>
        <family val="2"/>
      </rPr>
      <t xml:space="preserve">
</t>
    </r>
    <r>
      <rPr>
        <sz val="9"/>
        <color rgb="FF000000"/>
        <rFont val="微软雅黑"/>
        <family val="2"/>
      </rPr>
      <t>3、进行OPC数据接入；</t>
    </r>
    <r>
      <rPr>
        <sz val="11"/>
        <color rgb="FF000000"/>
        <rFont val="微软雅黑"/>
        <family val="2"/>
      </rPr>
      <t xml:space="preserve">
瑞泰：
</t>
    </r>
    <r>
      <rPr>
        <sz val="9"/>
        <color rgb="FF000000"/>
        <rFont val="微软雅黑"/>
        <family val="2"/>
      </rPr>
      <t>1、压力容器，压力管道检验计划全面启动上线运行；</t>
    </r>
    <r>
      <rPr>
        <sz val="11"/>
        <color rgb="FF000000"/>
        <rFont val="微软雅黑"/>
        <family val="2"/>
      </rPr>
      <t xml:space="preserve">
</t>
    </r>
    <r>
      <rPr>
        <sz val="9"/>
        <color rgb="FF000000"/>
        <rFont val="微软雅黑"/>
        <family val="2"/>
      </rPr>
      <t>2、进行每日执行数据情况统计（PPM+检修）</t>
    </r>
    <r>
      <rPr>
        <sz val="11"/>
        <color rgb="FF000000"/>
        <rFont val="微软雅黑"/>
        <family val="2"/>
      </rPr>
      <t xml:space="preserve">
</t>
    </r>
    <r>
      <rPr>
        <sz val="9"/>
        <color rgb="FF000000"/>
        <rFont val="微软雅黑"/>
        <family val="2"/>
      </rPr>
      <t>3、风险管理功能持续推进上线使用；</t>
    </r>
    <r>
      <rPr>
        <sz val="11"/>
        <color rgb="FF000000"/>
        <rFont val="微软雅黑"/>
        <family val="2"/>
      </rPr>
      <t xml:space="preserve">
圣奥：
</t>
    </r>
    <r>
      <rPr>
        <sz val="9"/>
        <color rgb="FF000000"/>
        <rFont val="微软雅黑"/>
        <family val="2"/>
      </rPr>
      <t>1、开展项目启动会。</t>
    </r>
  </si>
  <si>
    <r>
      <t xml:space="preserve">瑞恒：
</t>
    </r>
    <r>
      <rPr>
        <sz val="9"/>
        <color rgb="FF2F5597"/>
        <rFont val="微软雅黑"/>
        <family val="2"/>
      </rPr>
      <t>1、进行项目验收资料收集；</t>
    </r>
    <r>
      <rPr>
        <sz val="11"/>
        <color rgb="FF000000"/>
        <rFont val="微软雅黑"/>
        <family val="2"/>
      </rPr>
      <t xml:space="preserve">
</t>
    </r>
    <r>
      <rPr>
        <sz val="9"/>
        <color rgb="FF2F5597"/>
        <rFont val="微软雅黑"/>
        <family val="2"/>
      </rPr>
      <t>2、对于各车间制定的工作任务进行监督、落实。</t>
    </r>
    <r>
      <rPr>
        <sz val="11"/>
        <color rgb="FF000000"/>
        <rFont val="微软雅黑"/>
        <family val="2"/>
      </rPr>
      <t xml:space="preserve">
瑞祥：
</t>
    </r>
    <r>
      <rPr>
        <sz val="9"/>
        <color rgb="FF2F5597"/>
        <rFont val="微软雅黑"/>
        <family val="2"/>
      </rPr>
      <t>1、各模块上线运行，检修工单全部切换到系统中进行操作；</t>
    </r>
    <r>
      <rPr>
        <sz val="11"/>
        <color rgb="FF000000"/>
        <rFont val="微软雅黑"/>
        <family val="2"/>
      </rPr>
      <t xml:space="preserve">
</t>
    </r>
    <r>
      <rPr>
        <sz val="9"/>
        <color rgb="FF2F5597"/>
        <rFont val="微软雅黑"/>
        <family val="2"/>
      </rPr>
      <t>2、完善压力管道台账；</t>
    </r>
    <r>
      <rPr>
        <sz val="11"/>
        <color rgb="FF000000"/>
        <rFont val="微软雅黑"/>
        <family val="2"/>
      </rPr>
      <t xml:space="preserve">
</t>
    </r>
    <r>
      <rPr>
        <sz val="9"/>
        <color rgb="FF2F5597"/>
        <rFont val="微软雅黑"/>
        <family val="2"/>
      </rPr>
      <t>3、风险管理、备件管理模块上线时间等设备维保部通知；</t>
    </r>
    <r>
      <rPr>
        <sz val="11"/>
        <color rgb="FF000000"/>
        <rFont val="微软雅黑"/>
        <family val="2"/>
      </rPr>
      <t xml:space="preserve">
</t>
    </r>
    <r>
      <rPr>
        <sz val="9"/>
        <color rgb="FF2F5597"/>
        <rFont val="微软雅黑"/>
        <family val="2"/>
      </rPr>
      <t>4、完善专业设备检验计划；</t>
    </r>
    <r>
      <rPr>
        <sz val="11"/>
        <color rgb="FF000000"/>
        <rFont val="微软雅黑"/>
        <family val="2"/>
      </rPr>
      <t xml:space="preserve">
瑞泰：
</t>
    </r>
    <r>
      <rPr>
        <sz val="9"/>
        <color rgb="FF2F5597"/>
        <rFont val="微软雅黑"/>
        <family val="2"/>
      </rPr>
      <t>1、各模块上线运行，有问题及时解决；</t>
    </r>
    <r>
      <rPr>
        <sz val="11"/>
        <color rgb="FF000000"/>
        <rFont val="微软雅黑"/>
        <family val="2"/>
      </rPr>
      <t xml:space="preserve">
</t>
    </r>
    <r>
      <rPr>
        <sz val="9"/>
        <color rgb="FF2F5597"/>
        <rFont val="微软雅黑"/>
        <family val="2"/>
      </rPr>
      <t>2、完善点检标准、周期维护标准；</t>
    </r>
    <r>
      <rPr>
        <sz val="11"/>
        <color rgb="FF000000"/>
        <rFont val="微软雅黑"/>
        <family val="2"/>
      </rPr>
      <t xml:space="preserve">
</t>
    </r>
    <r>
      <rPr>
        <sz val="9"/>
        <color rgb="FF2F5597"/>
        <rFont val="微软雅黑"/>
        <family val="2"/>
      </rPr>
      <t>3、完善特种设备台账；</t>
    </r>
    <r>
      <rPr>
        <sz val="11"/>
        <color rgb="FF000000"/>
        <rFont val="微软雅黑"/>
        <family val="2"/>
      </rPr>
      <t xml:space="preserve">
</t>
    </r>
    <r>
      <rPr>
        <sz val="9"/>
        <color rgb="FF2F5597"/>
        <rFont val="微软雅黑"/>
        <family val="2"/>
      </rPr>
      <t>4、HSE系统与设备管理平台同时运行，根据运行情况逐渐进行分割。</t>
    </r>
    <r>
      <rPr>
        <sz val="11"/>
        <color rgb="FF000000"/>
        <rFont val="微软雅黑"/>
        <family val="2"/>
      </rPr>
      <t xml:space="preserve">
圣奥：
</t>
    </r>
    <r>
      <rPr>
        <sz val="9"/>
        <color rgb="FF2F5597"/>
        <rFont val="微软雅黑"/>
        <family val="2"/>
      </rPr>
      <t>1、准备开展项目实施相关工作。</t>
    </r>
  </si>
  <si>
    <r>
      <rPr>
        <sz val="9"/>
        <color rgb="FF2F5597"/>
        <rFont val="微软雅黑"/>
        <family val="2"/>
      </rPr>
      <t>1、备品备件数据核查是否完成；</t>
    </r>
    <r>
      <rPr>
        <sz val="11"/>
        <color rgb="FF000000"/>
        <rFont val="微软雅黑"/>
        <family val="2"/>
      </rPr>
      <t xml:space="preserve">
</t>
    </r>
    <r>
      <rPr>
        <sz val="9"/>
        <color rgb="FF2F5597"/>
        <rFont val="微软雅黑"/>
        <family val="2"/>
      </rPr>
      <t>2、完善领料流程相关制度；</t>
    </r>
    <r>
      <rPr>
        <sz val="11"/>
        <color rgb="FF000000"/>
        <rFont val="微软雅黑"/>
        <family val="2"/>
      </rPr>
      <t xml:space="preserve">
</t>
    </r>
    <r>
      <rPr>
        <sz val="9"/>
        <color rgb="FF2F5597"/>
        <rFont val="微软雅黑"/>
        <family val="2"/>
      </rPr>
      <t>3、进行管道设备树的优化；</t>
    </r>
    <r>
      <rPr>
        <sz val="11"/>
        <color rgb="FF000000"/>
        <rFont val="微软雅黑"/>
        <family val="2"/>
      </rPr>
      <t xml:space="preserve">
</t>
    </r>
    <r>
      <rPr>
        <sz val="9"/>
        <color rgb="FF2F5597"/>
        <rFont val="微软雅黑"/>
        <family val="2"/>
      </rPr>
      <t>4、整理项目验收的相关资料；</t>
    </r>
    <r>
      <rPr>
        <sz val="11"/>
        <color rgb="FF000000"/>
        <rFont val="微软雅黑"/>
        <family val="2"/>
      </rPr>
      <t xml:space="preserve">
</t>
    </r>
    <r>
      <rPr>
        <sz val="9"/>
        <color rgb="FF2F5597"/>
        <rFont val="微软雅黑"/>
        <family val="2"/>
      </rPr>
      <t>5、进行备件申请流程开发实施的推进工作；</t>
    </r>
    <r>
      <rPr>
        <sz val="11"/>
        <color rgb="FF000000"/>
        <rFont val="微软雅黑"/>
        <family val="2"/>
      </rPr>
      <t xml:space="preserve">
</t>
    </r>
    <r>
      <rPr>
        <sz val="9"/>
        <color rgb="FF2F5597"/>
        <rFont val="微软雅黑"/>
        <family val="2"/>
      </rPr>
      <t>6、协调OPC服务器联调。</t>
    </r>
  </si>
  <si>
    <t>1、协调处理备件库存传不完全的问题；
2、进行备件计划流程的开发工作；
3、整理项目验收资料，推进项目验收专题会。</t>
  </si>
  <si>
    <t>1、推进备件计划开发任务；
2、进行项目验收会的前期沟通；
3、完善各模块流程制度，点检标准、润滑标准要求明确，车间主任签字确认，指定人员进行周期性检查，根据情况进行考核。</t>
  </si>
  <si>
    <t>1、完善各模块流程制度，点检标准、润滑标准要求明确，车间主任签字确认，指定人员进行周期性检查，根据情况进行考核；
2、进行项目验收会的前期沟通。</t>
  </si>
  <si>
    <t>1、进行备件计划的实施开发；
2、进行二开需求梳理；
3、进行项目验收资料的补充收集。</t>
  </si>
  <si>
    <t>1、进行备件计划的开发、测试；</t>
  </si>
  <si>
    <t>瑞祥：开展电气管理、台账、缺陷、检修、ITPM（定期工作事项）流程培训。
瑞泰：（1）专项设备台账的收集及导入；（2）密封及腐蚀相关基础资料收集。</t>
  </si>
  <si>
    <t>瑞祥：1、系统模块（台账、缺陷、检修、ITPM）流程确认；2、建立管道设备资料；
瑞泰：1、检修模块培训与试用_x000D_；2、PPM模块计划资料收集
立项流程已通过，开展寻源相关流程。</t>
  </si>
  <si>
    <t>瑞祥：
1、腐蚀、密封模块培训；2、ITPM计划试运行。
瑞泰：
1、功能使用手册编制；2、检修项目功能进行试用；3、提交采购申请审批流程。
圣奥：
1、梳理明确的需求；2、提交采购申请流程。
总体：
为正式谈判做准备工作。</t>
  </si>
  <si>
    <t>进行瑞祥、瑞泰、圣奥三家采购流程谈判工作。
瑞祥：1、腐蚀、密封模块资料系统录入；2、ITPM计划（定期工作事项）、检修模块试运行阶段总结
瑞泰：1、功能使用手册编制；2、腐蚀、密封功能试用</t>
  </si>
  <si>
    <t>1、完成瑞祥、瑞泰、圣奥三家谈判。
瑞祥：1、资产台账整理更新
瑞泰：1、人员过滤，VPN账号统一申请；2、系统所试用功能的全流程培训</t>
  </si>
  <si>
    <r>
      <t xml:space="preserve">瑞恒：
1、系统上线试运行，对各类使用问题进行指导及处理；
2、完成检修工单字段、流程优化；
3、推进设备树优化化、完成设备分类修改；
4、协调SAP接口集成测试，已完成领料退料接口测试。
</t>
    </r>
    <r>
      <rPr>
        <b/>
        <sz val="9"/>
        <color rgb="FF000000"/>
        <rFont val="微软雅黑"/>
        <family val="2"/>
      </rPr>
      <t>试运行情况</t>
    </r>
    <r>
      <rPr>
        <sz val="11"/>
        <color rgb="FF000000"/>
        <rFont val="微软雅黑"/>
        <family val="2"/>
      </rPr>
      <t xml:space="preserve">
问题清单分析：
截止1月13日，共产生问题65条，其中技术类共25条，业务类39条，需求类1条，目前已解决49条，未解决11条，拒绝1条。
系统功能情况分析：
截止到2025年1月10日，人员账号312个，已接入13283台主机设备，诊断分析已接入DCS的1603台设备，正常读取1884个点位的实时数据；
系统主要业务功能使用情况：已建立514条点检标准、1201条润滑标准；检修管理已产生2683条检修项工单，处理中工单2535条；创建特种设备台账672台，生成特种设备检验计划369条；累计登录人次8038次。
瑞祥：
1、本周将点检、报警的配置重新梳理，台账资料各车间的问题进行汇总；
2、点检、缺陷流程等基础功能梳理；
瑞泰：
1、系统使用问题沟通，进行试运行功能模块任务下达；
2、沟通系统各功能业务切换上线策略；</t>
    </r>
  </si>
  <si>
    <r>
      <t xml:space="preserve">瑞恒：
1、成本中心数据完善；
2、检修项目检修记录字段长度、工单打印需求沟通确认；
3、设备树结构调整、设备档案完善；
4、备件采购计划方案沟通；
</t>
    </r>
    <r>
      <rPr>
        <b/>
        <sz val="9"/>
        <color rgb="FF000000"/>
        <rFont val="微软雅黑"/>
        <family val="2"/>
      </rPr>
      <t>问题清单分析：</t>
    </r>
    <r>
      <rPr>
        <sz val="11"/>
        <color rgb="FF000000"/>
        <rFont val="微软雅黑"/>
        <family val="2"/>
      </rPr>
      <t xml:space="preserve">
截止1月20日，共产生问题71条，其中技术类共25条，业务类45条，需求类1条，目前已解决57条，未解决11条，待沟通1条，拒绝1条。
</t>
    </r>
    <r>
      <rPr>
        <b/>
        <sz val="9"/>
        <color rgb="FF000000"/>
        <rFont val="微软雅黑"/>
        <family val="2"/>
      </rPr>
      <t>系统功能情况分析：</t>
    </r>
    <r>
      <rPr>
        <sz val="11"/>
        <color rgb="FF000000"/>
        <rFont val="微软雅黑"/>
        <family val="2"/>
      </rPr>
      <t xml:space="preserve">
截止到2025年1月20日，已建立人员账号312个，已建立514条点检标准、1205条润滑标准，产生3054条检修项工单；系统目前共42个功能，已使用26个，占比62%，已准备使用9个，未使用7个。
瑞祥：
1、系统主要功能扩大培训；
瑞泰：
1、各车间PPM计划整理导入；
2、腐蚀管理门限规则，腐蚀点位添加点位名称字段需求沟通；</t>
    </r>
  </si>
  <si>
    <r>
      <t xml:space="preserve">瑞恒：
1、检修工单打印模板需要更新，已提交开发：增加成本中心、成本中心编码、检修预算类型字段。
2、设备档案进行完善：设备固定资产号添加（批量导入）、设备附件上传。
3、申请点检二维码。
</t>
    </r>
    <r>
      <rPr>
        <b/>
        <sz val="9"/>
        <color rgb="FF000000"/>
        <rFont val="微软雅黑"/>
        <family val="2"/>
      </rPr>
      <t>试运行</t>
    </r>
    <r>
      <rPr>
        <sz val="11"/>
        <color rgb="FF000000"/>
        <rFont val="微软雅黑"/>
        <family val="2"/>
      </rPr>
      <t>问题清单分析：
本周问题清单未更新。
系统功能情况分析：
截止到2025年2月10日，已建立人员账号312个，已建立514条点检标准、1205条润滑标准，产生3465条检修项工单；系统目前共42个功能，已使用26个，占比62%，已准备使用9个，未使用7个。
瑞祥：
1、点检、缺陷、检修、维护、密封、腐蚀模块试运行
2、固定资产设备台账导入更新
瑞泰：
1、缺陷、检修、维护、密封、腐蚀模块试运行</t>
    </r>
  </si>
  <si>
    <r>
      <rPr>
        <b/>
        <sz val="9"/>
        <color rgb="FF000000"/>
        <rFont val="微软雅黑"/>
        <family val="2"/>
      </rPr>
      <t>瑞恒：</t>
    </r>
    <r>
      <rPr>
        <sz val="11"/>
        <color rgb="FF000000"/>
        <rFont val="微软雅黑"/>
        <family val="2"/>
      </rPr>
      <t xml:space="preserve">
1、检修项目工单打印样式变更需求开发中（进行中）；
2、点检功能推进上线，目前已提交关键设备二维码铭牌制作（进行中）；
3、备件管理领退料接口与WMS联调测试（已完成），瑞恒EAM领料单移动类型确定不涉及到研发订单领用；
</t>
    </r>
    <r>
      <rPr>
        <b/>
        <sz val="9"/>
        <color rgb="FF000000"/>
        <rFont val="微软雅黑"/>
        <family val="2"/>
      </rPr>
      <t>试运行情况：</t>
    </r>
    <r>
      <rPr>
        <sz val="11"/>
        <color rgb="FF000000"/>
        <rFont val="微软雅黑"/>
        <family val="2"/>
      </rPr>
      <t xml:space="preserve">
本周问题清单未更新。
系统功能情况分析：
截止到2025年2月17日，已建立人员账号314个，已建立514条点检标准、1205条润滑标准，产生3776条检修项工单；系统目前共42个功能，已使用26个，占比62%，已准备使用9个，未使用7个。
</t>
    </r>
    <r>
      <rPr>
        <b/>
        <sz val="9"/>
        <color rgb="FF000000"/>
        <rFont val="微软雅黑"/>
        <family val="2"/>
      </rPr>
      <t>瑞祥：</t>
    </r>
    <r>
      <rPr>
        <sz val="11"/>
        <color rgb="FF000000"/>
        <rFont val="微软雅黑"/>
        <family val="2"/>
      </rPr>
      <t xml:space="preserve">
1、系统主要功能试运行和总结；
2、固资台账数据更新；
3、5g专网测试；
</t>
    </r>
    <r>
      <rPr>
        <b/>
        <sz val="9"/>
        <color rgb="FF000000"/>
        <rFont val="微软雅黑"/>
        <family val="2"/>
      </rPr>
      <t>瑞泰：</t>
    </r>
    <r>
      <rPr>
        <sz val="11"/>
        <color rgb="FF000000"/>
        <rFont val="微软雅黑"/>
        <family val="2"/>
      </rPr>
      <t xml:space="preserve">
1、各车间试运行情况跟踪及总结；
</t>
    </r>
    <r>
      <rPr>
        <b/>
        <sz val="9"/>
        <color rgb="FF000000"/>
        <rFont val="微软雅黑"/>
        <family val="2"/>
      </rPr>
      <t>圣奥：</t>
    </r>
    <r>
      <rPr>
        <sz val="11"/>
        <color rgb="FF000000"/>
        <rFont val="微软雅黑"/>
        <family val="2"/>
      </rPr>
      <t xml:space="preserve">
1、与容知开始合同签订流程；
2、与容知对接实施计划。</t>
    </r>
  </si>
  <si>
    <r>
      <rPr>
        <b/>
        <sz val="9"/>
        <color rgb="FF000000"/>
        <rFont val="微软雅黑"/>
        <family val="2"/>
      </rPr>
      <t>瑞恒：</t>
    </r>
    <r>
      <rPr>
        <sz val="11"/>
        <color rgb="FF000000"/>
        <rFont val="微软雅黑"/>
        <family val="2"/>
      </rPr>
      <t xml:space="preserve">
1、设备固资台账完善、设备附件完善；
2、点检二维码制作，预计下周完成。
3、备品备件计划OA接口合同法务审核；
</t>
    </r>
    <r>
      <rPr>
        <sz val="9"/>
        <color rgb="FF000000"/>
        <rFont val="微软雅黑"/>
        <family val="2"/>
      </rPr>
      <t>试运行情况分析：</t>
    </r>
    <r>
      <rPr>
        <sz val="11"/>
        <color rgb="FF000000"/>
        <rFont val="微软雅黑"/>
        <family val="2"/>
      </rPr>
      <t xml:space="preserve">
本周问题清单未更新。
系统功能情况分析：
截止到2025年2月21日，已建立人员账号314个、12100主设备、已建立514条点检标准、1205条润滑标准，产生4007条检修项工单；系统目前共42个功能，已使用26个，占比62%，已准备使用9个，未使用7个。
</t>
    </r>
    <r>
      <rPr>
        <b/>
        <sz val="9"/>
        <color rgb="FF000000"/>
        <rFont val="微软雅黑"/>
        <family val="2"/>
      </rPr>
      <t>瑞祥：</t>
    </r>
    <r>
      <rPr>
        <sz val="11"/>
        <color rgb="FF000000"/>
        <rFont val="微软雅黑"/>
        <family val="2"/>
      </rPr>
      <t xml:space="preserve">
1、移动端功能使用操作培训
2、缺陷管理、工作任务模块流程配置
3、基建装置、固资堆场设备台账更新
4、设备实物档案更新
5、各模块试运行进展，上线计划梳理；
</t>
    </r>
    <r>
      <rPr>
        <b/>
        <sz val="9"/>
        <color rgb="FF000000"/>
        <rFont val="微软雅黑"/>
        <family val="2"/>
      </rPr>
      <t>瑞泰：</t>
    </r>
    <r>
      <rPr>
        <sz val="11"/>
        <color rgb="FF000000"/>
        <rFont val="微软雅黑"/>
        <family val="2"/>
      </rPr>
      <t xml:space="preserve">
1、各模块试运行进展，上线计划梳理
2、点检相关功能部署，点检计划功能进行测试
3、设备备件映射表数据整理
</t>
    </r>
    <r>
      <rPr>
        <b/>
        <sz val="9"/>
        <color rgb="FF000000"/>
        <rFont val="微软雅黑"/>
        <family val="2"/>
      </rPr>
      <t>圣奥：</t>
    </r>
    <r>
      <rPr>
        <sz val="11"/>
        <color rgb="FF000000"/>
        <rFont val="微软雅黑"/>
        <family val="2"/>
      </rPr>
      <t xml:space="preserve">
1、商务合同进行审核。
</t>
    </r>
    <r>
      <rPr>
        <b/>
        <sz val="9"/>
        <color rgb="FF000000"/>
        <rFont val="微软雅黑"/>
        <family val="2"/>
      </rPr>
      <t>河北新材：</t>
    </r>
    <r>
      <rPr>
        <sz val="11"/>
        <color rgb="FF000000"/>
        <rFont val="微软雅黑"/>
        <family val="2"/>
      </rPr>
      <t xml:space="preserve">
容知SC标准版：覆盖鑫宝和滏鼎，永久免费运维，暂无委外运维采购需求。2025年有EPM建设计划，预算70万元。</t>
    </r>
  </si>
  <si>
    <t>瑞恒：
1、沟通剩余模块上线计划，预计4.1全部上线；
2、预计3.17之前切换SAP正式系统，上线备件领料模块。
瑞祥：
1、台账、ITPM计划等各基础资料新增及更新；
2、进行固资台账导入绑定设备台账；
3、密封腐蚀台账完善导入，腐蚀计划制定；
瑞泰：
1、压力管道、压力容器台账导入
2、电气业务沟通，收集电气相关资料
3、仪表、主辅设备资料收集导入
4、梳理系统业务功能上线策略
圣奥EPM升级项目：
1、完成主计划初稿；2、甲乙双方协商修订合同。</t>
  </si>
  <si>
    <r>
      <t xml:space="preserve">瑞恒：
1、进行设备台账固定资产号数据收集；完成特种设备数据修正；
2、完成点检、缺陷、润滑等功能上线准备，点检二维码15台关键设备制作完成；
3、物联网卡需求统计中；
4、委外检修流程确认在EAM中进行审批。
</t>
    </r>
    <r>
      <rPr>
        <b/>
        <sz val="9"/>
        <color rgb="FF000000"/>
        <rFont val="微软雅黑"/>
        <family val="2"/>
      </rPr>
      <t>试运行情况分析：</t>
    </r>
    <r>
      <rPr>
        <sz val="11"/>
        <color rgb="FF000000"/>
        <rFont val="微软雅黑"/>
        <family val="2"/>
      </rPr>
      <t xml:space="preserve">
本周问题清单未更新。
系统功能情况分析：
截止到2025年3月6日，已建立人员账号315个、12353主设备、已建立515条点检标准、1208条润滑标准，1001润滑计划，产生4507条检修项工单；系统目前共42个功能，已使用26个，占比62%。
瑞祥：
1、电气、仪表、基建装置、固资堆场设备台账数据、设备实物档案持续更新中，
2、进行定期润滑、更换、检测模块等计划梳理，流程设置
3、进行静设备点检计划制定
3、进行专业设备、特种设备台账梳理，进行检验计划制定
4、进行 BOM清单整理（每个车间整理一到两台设备）
5、进行现场部分防爆手机5G网络开通申请
瑞泰：
1、进行仪表、主设备附属电气设备、压力管道、压容设备台账新增；
2、进行电气相关功能沟通、培训试用。
扬农集团统筹：
1、确定集团不提供统一设备报警标准，各现场自行安排，原则为振动温度根据情况自行设定，观察量报警要影响低于工艺。 
2、设备分级功能纳入二期项目需求。
圣奥：
完成计划初版，商务流程进行中。</t>
    </r>
  </si>
  <si>
    <r>
      <rPr>
        <b/>
        <sz val="9"/>
        <color rgb="FF000000"/>
        <rFont val="微软雅黑"/>
        <family val="2"/>
      </rPr>
      <t>瑞恒：</t>
    </r>
    <r>
      <rPr>
        <sz val="11"/>
        <color rgb="FF000000"/>
        <rFont val="微软雅黑"/>
        <family val="2"/>
      </rPr>
      <t xml:space="preserve">
1、点检、缺陷、润滑功能上线试运行；
2、完成系统升级；
3、进行系统升级后的备品备件接口测试。
试运行情况分析：
问题清单新增业务类问题2条，已解决。
系统功能情况分析：截止到2025年3月6日，已建立人员账号315个、12370主设备、已建立523条点检标准、1080条润滑标准，695润滑计划，产生4885条检修项工单；系统目前共42个功能，已使用33个，占比79%。已准备11个。
</t>
    </r>
    <r>
      <rPr>
        <b/>
        <sz val="9"/>
        <color rgb="FF000000"/>
        <rFont val="微软雅黑"/>
        <family val="2"/>
      </rPr>
      <t>瑞祥：</t>
    </r>
    <r>
      <rPr>
        <sz val="11"/>
        <color rgb="FF000000"/>
        <rFont val="微软雅黑"/>
        <family val="2"/>
      </rPr>
      <t xml:space="preserve">
1、点检计划试运行，静设备点检计划执行；
2、 特种设备、专项设备台账进行整理导入，特种设备、专项设备检验计划进行制定；
3、进行腐蚀台账完善，腐蚀计划试运行；
</t>
    </r>
    <r>
      <rPr>
        <b/>
        <sz val="9"/>
        <color rgb="FF000000"/>
        <rFont val="微软雅黑"/>
        <family val="2"/>
      </rPr>
      <t>瑞泰：</t>
    </r>
    <r>
      <rPr>
        <sz val="11"/>
        <color rgb="FF000000"/>
        <rFont val="微软雅黑"/>
        <family val="2"/>
      </rPr>
      <t xml:space="preserve">
1、构筑物、配电室、电气工具台账资料导入中；
2、进行电气、防雷、电气检验、工器具检验等专项检验计划制定；
3、EAM与清云业务切割沟通会议讨论（会议纪要待审核后发出）；
</t>
    </r>
    <r>
      <rPr>
        <b/>
        <sz val="9"/>
        <color rgb="FF000000"/>
        <rFont val="微软雅黑"/>
        <family val="2"/>
      </rPr>
      <t>圣奥：</t>
    </r>
    <r>
      <rPr>
        <sz val="11"/>
        <color rgb="FF000000"/>
        <rFont val="微软雅黑"/>
        <family val="2"/>
      </rPr>
      <t>完成合同签订生效。</t>
    </r>
  </si>
  <si>
    <r>
      <rPr>
        <b/>
        <sz val="9"/>
        <color rgb="FF000000"/>
        <rFont val="微软雅黑"/>
        <family val="2"/>
      </rPr>
      <t>瑞恒：</t>
    </r>
    <r>
      <rPr>
        <sz val="9"/>
        <color rgb="FF000000"/>
        <rFont val="微软雅黑"/>
        <family val="2"/>
      </rPr>
      <t xml:space="preserve">
1、检修、点检、缺陷、润滑等功能试运行；
2、密封、腐蚀、风险管理试点运行；
2、备件管理领退料正式系统接口测试，领料接口已测通；
4、按照中化BI报表的要求整理数据字典。
</t>
    </r>
    <r>
      <rPr>
        <b/>
        <sz val="9"/>
        <color rgb="FF000000"/>
        <rFont val="微软雅黑"/>
        <family val="2"/>
      </rPr>
      <t>系统功能情况分析</t>
    </r>
    <r>
      <rPr>
        <sz val="9"/>
        <color rgb="FF000000"/>
        <rFont val="微软雅黑"/>
        <family val="2"/>
      </rPr>
      <t>：</t>
    </r>
    <r>
      <rPr>
        <sz val="9"/>
        <color rgb="FF000000"/>
        <rFont val="微软雅黑"/>
        <family val="2"/>
      </rPr>
      <t xml:space="preserve">
截止到2025年3月20日，已建立人员账号315个、12370主设备、已建立523条点检标准、1094条润滑标准，697润滑计划，产生5033条检修项工单；系统目前共54个功能，已使用45个，占比83%。已准备9个。
</t>
    </r>
    <r>
      <rPr>
        <b/>
        <sz val="9"/>
        <color rgb="FF000000"/>
        <rFont val="微软雅黑"/>
        <family val="2"/>
      </rPr>
      <t>瑞祥：</t>
    </r>
    <r>
      <rPr>
        <sz val="9"/>
        <color rgb="FF000000"/>
        <rFont val="微软雅黑"/>
        <family val="2"/>
      </rPr>
      <t xml:space="preserve">
1、进行专业设备台账梳理，检验计划制定并上线运行
2、备件管理领料接口集成测试
3、进行风险管理功能沟通和标准框架制定
</t>
    </r>
    <r>
      <rPr>
        <b/>
        <sz val="9"/>
        <color rgb="FF000000"/>
        <rFont val="微软雅黑"/>
        <family val="2"/>
      </rPr>
      <t>瑞泰：</t>
    </r>
    <r>
      <rPr>
        <sz val="9"/>
        <color rgb="FF000000"/>
        <rFont val="微软雅黑"/>
        <family val="2"/>
      </rPr>
      <t xml:space="preserve">
1、完成仪表及安全附件、压力容器台账、密封、腐蚀台账导入；
2、完成仪表及安全附件、压力容器周期检定计划导入；
3、进行风险知识库数据导入与风险管理使用说明整理。
</t>
    </r>
    <r>
      <rPr>
        <b/>
        <sz val="9"/>
        <color rgb="FF000000"/>
        <rFont val="微软雅黑"/>
        <family val="2"/>
      </rPr>
      <t>圣奥：</t>
    </r>
    <r>
      <rPr>
        <sz val="9"/>
        <color rgb="FF000000"/>
        <rFont val="微软雅黑"/>
        <family val="2"/>
      </rPr>
      <t xml:space="preserve">
1、完成合同签订。</t>
    </r>
  </si>
  <si>
    <r>
      <rPr>
        <b/>
        <sz val="9"/>
        <color rgb="FF000000"/>
        <rFont val="微软雅黑"/>
        <family val="2"/>
      </rPr>
      <t>瑞恒</t>
    </r>
    <r>
      <rPr>
        <sz val="11"/>
        <color rgb="FF000000"/>
        <rFont val="微软雅黑"/>
        <family val="2"/>
      </rPr>
      <t xml:space="preserve">：
1、推进系统全功能上线；
2、与仓储部沟通并确认备件领料、退料流程；
</t>
    </r>
    <r>
      <rPr>
        <b/>
        <sz val="9"/>
        <color rgb="FF000000"/>
        <rFont val="微软雅黑"/>
        <family val="2"/>
      </rPr>
      <t>瑞祥</t>
    </r>
    <r>
      <rPr>
        <sz val="11"/>
        <color rgb="FF000000"/>
        <rFont val="微软雅黑"/>
        <family val="2"/>
      </rPr>
      <t xml:space="preserve">：
1、推进系统功能上线运行，上周大修，功能上线暂缓；
2、备件管理模块正式系统试点使用；
3、风险管理功能模块推进上线使用；
4、准备进行OPC数据接入；
</t>
    </r>
    <r>
      <rPr>
        <b/>
        <sz val="9"/>
        <color rgb="FF000000"/>
        <rFont val="微软雅黑"/>
        <family val="2"/>
      </rPr>
      <t>瑞泰</t>
    </r>
    <r>
      <rPr>
        <sz val="11"/>
        <color rgb="FF000000"/>
        <rFont val="微软雅黑"/>
        <family val="2"/>
      </rPr>
      <t xml:space="preserve">：
1、压力容器，压力管道检验计划全面启动；
2、备件管理功能结合检修开展使用；
3、推进风险管理功能上线使用；
4、完成蓝图签订。
</t>
    </r>
    <r>
      <rPr>
        <b/>
        <sz val="9"/>
        <color rgb="FF000000"/>
        <rFont val="微软雅黑"/>
        <family val="2"/>
      </rPr>
      <t>圣奥</t>
    </r>
    <r>
      <rPr>
        <sz val="11"/>
        <color rgb="FF000000"/>
        <rFont val="微软雅黑"/>
        <family val="2"/>
      </rPr>
      <t>：
1、进行项目启动会准备。</t>
    </r>
  </si>
  <si>
    <r>
      <rPr>
        <b/>
        <sz val="9"/>
        <color rgb="FF000000"/>
        <rFont val="微软雅黑"/>
        <family val="2"/>
      </rPr>
      <t>瑞恒：</t>
    </r>
    <r>
      <rPr>
        <sz val="11"/>
        <color rgb="FF000000"/>
        <rFont val="微软雅黑"/>
        <family val="2"/>
      </rPr>
      <t xml:space="preserve">
1、各模块功能上线试运行中；
2、进行项目验收资料收集；
3、进行各车间工作任务的分配。
</t>
    </r>
    <r>
      <rPr>
        <b/>
        <sz val="9"/>
        <color rgb="FF000000"/>
        <rFont val="微软雅黑"/>
        <family val="2"/>
      </rPr>
      <t>瑞祥</t>
    </r>
    <r>
      <rPr>
        <sz val="11"/>
        <color rgb="FF000000"/>
        <rFont val="微软雅黑"/>
        <family val="2"/>
      </rPr>
      <t xml:space="preserve">：
1、恢复各模块上线运行工作；
2、完成风险管理、备件管理功能培训工作；
3、完善专业设备检验计划；
4、DCS服务器无法连入，属地无法找到对应服务器。
</t>
    </r>
    <r>
      <rPr>
        <b/>
        <sz val="9"/>
        <color rgb="FF000000"/>
        <rFont val="微软雅黑"/>
        <family val="2"/>
      </rPr>
      <t>瑞泰：</t>
    </r>
    <r>
      <rPr>
        <sz val="11"/>
        <color rgb="FF000000"/>
        <rFont val="微软雅黑"/>
        <family val="2"/>
      </rPr>
      <t xml:space="preserve">
1、各模块上线运行，有问题及时解决；
2、完善点检标准、周期维护标准；
3、完善特种设备台账；
</t>
    </r>
    <r>
      <rPr>
        <b/>
        <sz val="9"/>
        <color rgb="FF000000"/>
        <rFont val="微软雅黑"/>
        <family val="2"/>
      </rPr>
      <t>圣奥：</t>
    </r>
    <r>
      <rPr>
        <sz val="11"/>
        <color rgb="FF000000"/>
        <rFont val="微软雅黑"/>
        <family val="2"/>
      </rPr>
      <t xml:space="preserve">
1、完成项目启动会的开展。</t>
    </r>
  </si>
  <si>
    <r>
      <rPr>
        <b/>
        <sz val="9"/>
        <color rgb="FF000000"/>
        <rFont val="微软雅黑"/>
        <family val="2"/>
      </rPr>
      <t>瑞恒：</t>
    </r>
    <r>
      <rPr>
        <sz val="11"/>
        <color rgb="FF000000"/>
        <rFont val="微软雅黑"/>
        <family val="2"/>
      </rPr>
      <t xml:space="preserve">
1、进行工作流程的调整，增加高层领导审批节点；
2、梳理领料流程的相关制度；
3、进行管道设备树的优化；
4、进行各车间人员账号权限的梳理；
5、OPC服务器连不上，协调进行问题的检查；
6、备品备件申请的相关开发开展实施。
</t>
    </r>
    <r>
      <rPr>
        <b/>
        <sz val="9"/>
        <color rgb="FF000000"/>
        <rFont val="微软雅黑"/>
        <family val="2"/>
      </rPr>
      <t>瑞祥：</t>
    </r>
    <r>
      <rPr>
        <sz val="11"/>
        <color rgb="FF000000"/>
        <rFont val="微软雅黑"/>
        <family val="2"/>
      </rPr>
      <t xml:space="preserve">
1、各车间闭环正式上线前的超时未完成的周期性流程；
2、完善电气设备的台账，增加照明、接电线、电器配件位置等字段；
3、确认基建的检修工单在系统里进行，暂定每栋楼作为一个主设备管理；
</t>
    </r>
    <r>
      <rPr>
        <b/>
        <sz val="9"/>
        <color rgb="FF000000"/>
        <rFont val="微软雅黑"/>
        <family val="2"/>
      </rPr>
      <t>瑞泰：</t>
    </r>
    <r>
      <rPr>
        <sz val="11"/>
        <color rgb="FF000000"/>
        <rFont val="微软雅黑"/>
        <family val="2"/>
      </rPr>
      <t xml:space="preserve">
1、督促各车间落设备点检流程，本周设备点检及时性有了很大提升；
2、组织进行人员培训，制作培训视频。
</t>
    </r>
    <r>
      <rPr>
        <b/>
        <sz val="9"/>
        <color rgb="FF000000"/>
        <rFont val="微软雅黑"/>
        <family val="2"/>
      </rPr>
      <t>圣奥：</t>
    </r>
    <r>
      <rPr>
        <sz val="11"/>
        <color rgb="FF000000"/>
        <rFont val="微软雅黑"/>
        <family val="2"/>
      </rPr>
      <t xml:space="preserve">
1、项目启动会材料编制、提交；
2、完成原服务器数据备份、安全校验；
3、进行原服务器历史测试数据导出流程申请；
4、进行服务器环境梳理、测试环境服务器资源搭建与还原；
5、各基地运维反馈问题进行排查处理并反馈。</t>
    </r>
  </si>
  <si>
    <t>1、备品备件库存数据不全，与SAP共同核查原因；
2、进行管道设备树的优化，有部分车间未按照要求整理，进行改正；
3、各模块数据（设备台账资料、防腐蚀计划等）持续录入中；
4、完成备件申请开发流程初步沟通，完成与OA的表单集成初步沟通
5、协调找到OPC服务器数据连不上的原因，已完成联调。
6、完成系统人员权限梳理工作；
7、更新各模块操作手册并上传至系统知识文档库；
8、沟通工作模块流程只推送给瑞恒用户OA作为消息提醒的需求。</t>
  </si>
  <si>
    <t>1、找到备件库存数据不全的原因，待传输新版本后进行验证；
2、备件计划开发推进中，已确认流程传输字段；
3、跟进系统各模块数据的完整性，其中特种设备台账完整度较高，风险管理库与标准知识库（设备图纸管理）持续跟进中。</t>
  </si>
  <si>
    <t>1、推进备件计划开发任务；
2、核查备品备件数量接口数据量是否齐全，目前与SAP一致；
3、持续完善设备台账、风险管理库与标准知识库。</t>
  </si>
  <si>
    <t>1、进行设备台账等基础信息、固定资产信息资料收集计划制定；
2、进行二开需求梳理；
3、持续进行缺陷管理模块检查完善、设备实时健康状态（警告、危险设备）数据核实
4、进行备件计划的实施开发，目前OA部分的开发测试已完成；
5、完成项目验收准备会的开展。</t>
  </si>
  <si>
    <t>1、进行备件计划的实施开发，开发进度80%；
2、整理二次开发需求，待确认；</t>
  </si>
  <si>
    <t xml:space="preserve">2024/4/15
</t>
  </si>
  <si>
    <t xml:space="preserve">2024/8/20
</t>
  </si>
  <si>
    <t xml:space="preserve">2025/3/26
</t>
  </si>
  <si>
    <t>化工事业部设备管理平台：瑞祥&amp;瑞泰EAM建设（不跟踪）</t>
  </si>
  <si>
    <t>先将中间体三家工厂进行验收；</t>
  </si>
  <si>
    <t>瑞祥：
1、各车间闭环所有历史遗留的检修和缺陷流程以及腐蚀工单；
2、整理项目验收的相关资料。
瑞泰：
1、进行缺陷提报流程要求细化、泄漏记录填报，处理流程转缺陷-转检修流程的使用。
2、腐蚀检验计划开展运行，录入腐蚀厚度数据；</t>
  </si>
  <si>
    <t>瑞祥：
1、进行从缺陷流程到预防性检修流程的开展，各车间至少进行一条从缺陷到检修完成的全流程；
2、推进系统与PHD集成，各车间整理设备测点；
3、整理项目验收资料。
瑞泰：
1、进行phd集成点位数据收集；
2、进行项目二期需求的收集；
3、整理项目验收相关资料。</t>
  </si>
  <si>
    <t>瑞祥：
1、基建的工单各车间做好切割，切换到EAM填报，避免出现OA和EAM平台重复填报的情况；
2、进行项目验收会的前期沟通。
瑞泰：
1、收集各车间实时数据点位数据；
2、核对项目二期需求，确认是否纳入二期规划；
3、各车间进行系统功能完成确认；
4、进行项目验收会的前期沟通。</t>
  </si>
  <si>
    <t>瑞祥：
1、DCS数据接入的服务器资源协调；
2、进行项目验收会的前期沟通；
3、进行基建、电气等设备台账完善
瑞泰：
1、进行项目验收会的前期沟通；
2、进行检修流程优化调整；</t>
  </si>
  <si>
    <t>瑞祥：
1、进行关键设备电机维护计划制定；
2、进行项目验收资料的补充收集；
瑞泰：
1、进行检修流程优化调整；
2、进行5G网络事项沟通；
3、讨论与清云系统的切割具体方案与复用原有二维码方案；</t>
  </si>
  <si>
    <t>瑞祥：
1、根据财务给出的固资台账完善设备台账；
2、梳理动静电仪设备的特征属性字段；
瑞泰：
1、进行车间主任系统操作培训；
2、进行二维码配置工作的开展；
3、沟通系统功能使用计划，明确功能暂不使用原因。</t>
  </si>
  <si>
    <t>瑞祥：2024/6/15
瑞泰：2024/7/15</t>
  </si>
  <si>
    <t>瑞祥：2025/3/6
瑞泰：2025/3/21</t>
  </si>
  <si>
    <t>瑞祥：2025/3/24
瑞泰：2025/3/27</t>
  </si>
  <si>
    <t>瑞祥：
1、优化检修项目填报要求，各车间根据要求执行；
2、超期未完成的周期流程和腐蚀工单全部清除，各车间及时执行到期任务；
3、优化腐蚀计划，计划需有测点分布图，根据测点记录测量数据；
4、各车间持续完善固定资产台账；
5、沟通OPC服务器集成系统计划，制定初步计划。
瑞泰：
1、优化流程转缺陷转检修流程的使用；
2、开展腐蚀检验计划的运行，录入腐蚀厚度数据；
3、推进PPM工单业务的执行；
4、优化现有缺陷、检修流程。</t>
  </si>
  <si>
    <t>瑞祥：
1、完成每个车间至少1条缺陷生成检修工单的流程；
2、新建状态下的检修工单中的外委检修编辑功能关闭；
3、制作检修工单填写的思维导图，督促各车间严格按照规范填写；
瑞泰：
1、收集各车间MES点位数据；
2、核对项目二期需求，确认是否纳入二期规划；
3、进行各车间系统的强化培训；
4、各车间进行系统功能完成确认。</t>
  </si>
  <si>
    <t>瑞祥：
1、检修项目工作流按照设备评价等级和预算费用进行重新调整；
2、进行基建、电气等设备台账完善，进行B类动设备，静设备点检标准导入；
3、DCS数据接入的服务器资源协调中。
瑞泰：
1、收集各车间实时数据点位数据；
2、完成二期需求确认；
3、各车间进行系统功能完成确认；</t>
  </si>
  <si>
    <t>瑞祥：
1、完成检修项目的合规填报的培训工作；
2、完成职能部门检修项目流程的单独配置；
3、进行关键设备电机维护计划制定；
4、完成项目验收准备会的开展。
瑞泰：
1、进行验收功能确认表的收集；
2、完成项目验收准备会的开展。</t>
  </si>
  <si>
    <t>瑞祥：
1、完成系统领退料功能培训；
2、完善设备台账的更新要求；
3、提出按动静电仪设备增加各自特征属性字段的要求，等有机车间梳理后录入系统；
4、提出检修项目可以按设备类别搜索需求，提交开发需求。
瑞泰：
1、完成检修流程优化调整；
2、进行5G专网事项沟通，已开始调试，预计两周上线；
3、进行清云系统二维码事宜沟通，制定原有二维码利用方案；
4、制定从清云系统到EAM的业务切换计划；</t>
  </si>
  <si>
    <t>瑞祥：2025/4/7
瑞泰：2025/4/10</t>
  </si>
  <si>
    <t>化工事业部设备管理平台：圣奥EPM优化迁移</t>
  </si>
  <si>
    <t>姜丽丽/卢天慧</t>
  </si>
  <si>
    <t>后续统一与中化信息购买看护服务，抓紧立项</t>
  </si>
  <si>
    <t>1、完成数据导出流程审批与数据导出；
2、进行测试环境服务器数据还原；
3、进行设备树数据备份。</t>
  </si>
  <si>
    <t>1、进行测试环境服务器数据还原；
2、进行数据迁移工具开发；
3、进行项目保密协议签订与审批；
4、进行诊断中心数据迁移测试；</t>
  </si>
  <si>
    <t>1、进行数据迁移工具开发；
2、进行升级方案全量测试；
3、进行诊断中心数据迁移测试；
4、进行报警业务数据迁移工具开发。</t>
  </si>
  <si>
    <t>1、进行数据迁移工具开发，预计进展90%；
2、完成升级方案全量测试；
3、完成诊断中心数据迁移测试；
4、进行报警业务数据迁移工具开发，预计进展90%。</t>
  </si>
  <si>
    <t>1、进行网络端口权限开通申请与开通；
2、完成升级方案全量测试、诊断中心数据迁移测试和数据迁移工具开发；
3、进行报警业务数据迁移工具开发。</t>
  </si>
  <si>
    <t xml:space="preserve">1、进行系统正式环境设备树层级调整；
2、进行系统数据迁移工具部署；
3、进行圣奥系统版本升级事业部系统升级包部署与调试，为圣奥数据传输做准备；
4、进行诊断中心数据迁移合并准备；
5、进行报警业务数据迁移工具开发，进度80%
</t>
  </si>
  <si>
    <t>1、进行诊断中心数据迁移合并准备工作；
2、进行采集站信息与用户信息配置工作；
3、进行圣奥化学服务器结构部署调整与新老服务器数据传输；
4、进行系统正式切换的准备与线上系统培训工作；
5、完成报警业务数据迁移工具开发。
6、配置多因子登录权限。</t>
  </si>
  <si>
    <t>1、进行系统切换升级方案制定并发布；
2、进行圣奥化学服务器结构部署调整与新老服务器数据传输；
3、进行系统正式切换的准备与线上系统培训工作。</t>
  </si>
  <si>
    <t>1、进行圣奥化学服务器结构部署调整与新老服务器数据传输；
2、进行系统正式切换与系统培训等工作。</t>
  </si>
  <si>
    <t>1、进行系统功能监护运行；
2、进行历史报警数据导入；
3、策划培训内容（SC+IOM平台），为后续统建设备管理系统做准备
4、编制切换过程异常问题处理分析报告</t>
  </si>
  <si>
    <t xml:space="preserve">1、进行系统功能监护运行；
2、进行系统（SC+IOM平台）培训；
3、进行网络安全检查材料
</t>
  </si>
  <si>
    <t>1、进行系统功能监护运行；
2、提交上线安全检查材料；</t>
  </si>
  <si>
    <t>1、进行系统功能监护运行；
2、进行上线安全检查；</t>
  </si>
  <si>
    <t>1、进行系统功能监护运行；
2、最新通知需做等保测试，进行系统定级调整。</t>
  </si>
  <si>
    <t>1、制定漏洞修复方案，完善计划；</t>
  </si>
  <si>
    <t>1、跟进漏洞修复相关工作。</t>
  </si>
  <si>
    <t>1、进行数据导出流程审批与数据导出；
2、进行设备树数据备份；
3、进行数据迁移工具开发；
4、进行项目保密协议签订与审批</t>
  </si>
  <si>
    <t>1、完成测试环境服务器数据还原；
2、进行数据迁移工具开发；
3、完成项目保密协议签订与审批；
4、进行诊断中心数据迁移测试；</t>
  </si>
  <si>
    <t>1、进行数据迁移工具开发，目前进展：80%；
2、进行升级方案全量测试，目前进展：80%；
3、进行诊断中心数据迁移测试，目前进展：80%；
4、进行报警业务数据迁移工具开发，目前进展：80%。</t>
  </si>
  <si>
    <t>1、进行升级方案全量测试，进度80%
2、进行诊断中心数据迁移测试，进度95%；
3、进行数据迁移工具开发，进度90%
4、进行报警业务数据迁移工具开发，进度60%；</t>
  </si>
  <si>
    <t>1、完成设备树层级调整开发测试；
2、完成网络端口权限开通申请与开通；
3、完成数据迁移工具开发；
4、完成升级方案全量测试；
5、完成诊断中心数据迁移测试；
6、完成设备树、采集站对应信息整理；
7、进行报警业务数据迁移工具开发，进度60%。</t>
  </si>
  <si>
    <t>1、完成设备树层级调整；
2、完成数据迁移工具部署；
3、完成事业部系统升级包部署与调试；
4、进行诊断中心数据迁移合并准备；
5、进行采集站信息与用户信息配置工作，进度80%
6、进行报警业务数据迁移工具开发，进度90%</t>
  </si>
  <si>
    <t>1、完成诊断中心数据迁移合并准备工作；
2、进行采集站信息与用户信息配置工作；
3、完成报警业务数据迁移工具开发。</t>
  </si>
  <si>
    <t>1、完成系统切换升级方案制定并发布；
2、完成新环境采集站信息、用户信息配置；</t>
  </si>
  <si>
    <t>1、完成系统正式切换与切换后系统验证
2、完成切换过程中网页无法查询的问题
3、完成用户在新平台登录验证
4、完成用户手册编制</t>
  </si>
  <si>
    <t xml:space="preserve">1、进行系统功能监护运行；
2、完成历史报警数据的导入工作；
3、完成培训的内容（SC+IOM平台）的策划；
4、完成升级过程问题复盘总结输出，各基地反馈问题处理与记录
。
</t>
  </si>
  <si>
    <t xml:space="preserve">1、完成系统（SC+IOM平台）的培训；
2、进行系统功能监护运行；
3、进行上线检查相关资料的整理；
</t>
  </si>
  <si>
    <t>1、进行系统功能监护运行；</t>
  </si>
  <si>
    <t>1、进行系统功能监护运行；
2、提交上线安全检查相关材料。</t>
  </si>
  <si>
    <t>1、进行系统功能监护运行；
2、收到渗透测试报告，通知供应商整改。</t>
  </si>
  <si>
    <t>1、等保测试与系统定级更新预计在信创后完成。
2、与供应商进行新一次的信创方案沟通，后续需要再次修订，下周提交修订版</t>
  </si>
  <si>
    <t>1、EPM升级：没有问题。
2、整体平台：网络安全检测问题整改，完善漏洞修复，预计九月初改版发布。</t>
  </si>
  <si>
    <t>HSE-建设（BD、固废、动态风险预警等）</t>
  </si>
  <si>
    <t>停止跟踪</t>
  </si>
  <si>
    <t>承包商-已完成统建系统的建设，待集团发布标准完成自建系统的数据对接
BD-已完成所有企业年度任务，核实、上报项目进度
固废-配合集团调研</t>
  </si>
  <si>
    <t>承包商-已完成统建系统的建设，待集团发布标准完成自建系统的数据对接
BD-已完成所有企业年度任务，核实、上报项目进度
固废-配合集团调研，完成基础信息收集表</t>
  </si>
  <si>
    <t>承包商-已完成统建系统的建设，沟通自建系统数据上报事宜
BD-按照集团要求，和各企业沟通确认2025年建设内容
固废-配合中化信息进行系统试运行</t>
  </si>
  <si>
    <t>承包商-按照集团计划，推进自建系统数据接入
BD-按照集团要求，推进系统完善
固废-配合中化信息进行系统试运行</t>
  </si>
  <si>
    <t>承包商-按照集团计划，推进自建系统数据接入
BD-按照集团要求，推进系统完善
固废-关注固废系统正式版运行情况，收集相关问题</t>
  </si>
  <si>
    <t>承包商-按照集团计划，推进自建系统数据接入
BD-已完成年度计划，不再跟踪
固废-关注固废系统正式版运行情况，收集相关问题</t>
  </si>
  <si>
    <t>暂不跟踪</t>
  </si>
  <si>
    <t>承包商-已完成统建系统的建设，待集团发布标准完成自建系统的数据对接
BD-已完成所有企业年度任务
固废-配合集团调研</t>
  </si>
  <si>
    <t>固废-配合集团调研，集团统建固废系统化工事业部上报的23家企业，除一家拟退出、一家无危废、一家自建企业外（均已在HSE部备案），其余20家基础数据已全部收集完毕并上报
其他无更新</t>
  </si>
  <si>
    <t>承包商-已完成统建系统的建设，沟通自建系统数据上报事宜
BD-按照集团要求，完成和各企业沟通确认2025年建设内容并上报
固废-配合中化信息进行系统试运行</t>
  </si>
  <si>
    <t>承包商-按照集团计划，推进自建系统数据接入
BD-按照集团要求，推进系统完善，25年剩2家需改造为单BD终端
固废-配合中化信息进行系统试运行</t>
  </si>
  <si>
    <t>承包商-按照集团计划，推进自建系统数据接入，安排参加集团6项制度宣贯培训会
BD-按照集团要求，推进系统完善，剩余两项整改中
固废-配合中化信息进行系统试运行，各类问题逐步完善</t>
  </si>
  <si>
    <t>承包商-按照集团计划，推进自建系统数据接入，各企业自建系统完善中
BD-按照集团要求，推进系统完善，剩余两项整改中（南通星辰、淮化）
固废-配合中化信息进行系统试运行，各类问题逐步完善（主要问题：数据回流不及时或没有）</t>
  </si>
  <si>
    <t>承包商-按照集团计划，推进自建系统数据接入，各企业自建系统完善中
BD-按照集团要求，推进系统完善，剩余两项整改中
固废-配合中化信息进行系统试运行，各类问题逐步完善，结束试运行，正式使用</t>
  </si>
  <si>
    <t>承包商-按照集团计划，推进系统数据接入
BD-按照集团要求，推进系统完善，已完成年度改造计划
固废-中化信息进行系统已正式使用，注意收集问题，暂未发现事业部企业有问题反馈</t>
  </si>
  <si>
    <t>承包商-已和赵钧确认，今年集团无考核，暂不跟踪
BD-已完成年度改造计划，不再跟踪
固废-中化信息进行系统已正式使用，不再跟踪</t>
  </si>
  <si>
    <t>扬农瑞恒数字化工作</t>
  </si>
  <si>
    <t>第一周
（9/1-9/5）</t>
  </si>
  <si>
    <t>第二周
（9/8-9/12）</t>
  </si>
  <si>
    <t>第三周
（9/15-9/19）</t>
  </si>
  <si>
    <t>第四周
（9/22-9/26）</t>
  </si>
  <si>
    <t>第五周
（9/28-9/30）</t>
  </si>
  <si>
    <t>第一周
（10/9-10/11）</t>
  </si>
  <si>
    <t>第二周
（10/13-10/17）</t>
  </si>
  <si>
    <t>第三周
（10/20-10/24）</t>
  </si>
  <si>
    <t>第四周
（10/27-10/31）</t>
  </si>
  <si>
    <t>第一周
（11/3-11/7）</t>
  </si>
  <si>
    <t>第二周
（11/10-11/14）</t>
  </si>
  <si>
    <t>第三周
（11/17-11/21）</t>
  </si>
  <si>
    <t>第四周
（11/24-11/28）</t>
  </si>
  <si>
    <t>第一周
（12/1-12/5）</t>
  </si>
  <si>
    <t>第二周
（12/8-12/12）</t>
  </si>
  <si>
    <t>第三周
（12/15-12/19）</t>
  </si>
  <si>
    <t>第四周
（12/22-12/26）</t>
  </si>
  <si>
    <t>第五周
（12/29-12/31）</t>
  </si>
  <si>
    <t>基础设施运维</t>
  </si>
  <si>
    <t>洪强</t>
  </si>
  <si>
    <t>工单系统方案对接（洪、圣）</t>
  </si>
  <si>
    <t>组织节前机房安全检查</t>
  </si>
  <si>
    <t>基础运维</t>
  </si>
  <si>
    <t>开始梳理服务需求清单</t>
  </si>
  <si>
    <t>将IT服务需求清单梳理并征求各部门用户人员需求，拟出需求说明清单与后续的实施要求</t>
  </si>
  <si>
    <t>确定最新工单流程细节</t>
  </si>
  <si>
    <t>工单流程梳理确认并完成
3个部门的老旧电脑升级</t>
  </si>
  <si>
    <t>继续梳理信息系统运维工单流程并与陈圣开始沟通</t>
  </si>
  <si>
    <t>持续进行老旧电脑升级
继续沟通IT运维工单融合进化工事业部工单系统事宜</t>
  </si>
  <si>
    <t xml:space="preserve">老旧电脑升级
</t>
  </si>
  <si>
    <t>桌面系统运维，处理硬件问题9个，软件网络问题20个</t>
  </si>
  <si>
    <t xml:space="preserve">本周收到工单20个，处理硬件问题9个，软件网络问题11个 </t>
  </si>
  <si>
    <t>1.本周收到工单19个，处理硬件问题8个，软件网络问题11个。
2.已对IT工单系统清单做了初步的需求分析。</t>
  </si>
  <si>
    <t>1.本周收到工单22个，处理硬件问题13个，软件网络问题9个。
2.对工单流程进行了梳理，已整理出第一版工单流程。</t>
  </si>
  <si>
    <t>1.本周收到工单13个，处理硬件问题4个，软件网络问题9个。
2.质监部5台、生产部7台、综合部4台电脑升级固态硬盘及内存条到货安装，预计2周全部升级完成。
3.工单流程梳理下周完成。</t>
  </si>
  <si>
    <t>1.本周收到运维工单30个，处理打印机问题9个，硬件问题5个，软件网络问题16个。   
2.本周已将涉及盗版软件电脑全部标准化。</t>
  </si>
  <si>
    <t>1.桌面运维工单30个，处理打印机问题9个，硬件问题5个，软件网络问题16个。  
2.u盘加密培训，制作内部u盘加密手册
3.部分老旧电脑升级</t>
  </si>
  <si>
    <t>视频监控督查问题整改</t>
  </si>
  <si>
    <t>尽量缩短到货周期；协调试用设备（中化信息）</t>
  </si>
  <si>
    <t>梳理14个问题项配合HSE部对各部门宣贯</t>
  </si>
  <si>
    <t>确定监控存储扩容方案</t>
  </si>
  <si>
    <t>本周进行视频监控存储的方案修改并完成确认工作，尽快进行采购流程</t>
  </si>
  <si>
    <t>尽快确定视频监控扩容方案并提交采购需求</t>
  </si>
  <si>
    <t>尽快确认最终采购方式并确认采购周期是否满足HSE要求整改期限，及时将情况上报至中化，防止后续持续通报该情况</t>
  </si>
  <si>
    <t>1.中化信息已与HSE部确认下周视频监控扩容及视频压缩方案的研讨分析进行现场交流。
2.确认完成具体方案并确认安全费用审批进度
3.再次确认移动布控球采购进度</t>
  </si>
  <si>
    <t>1.中化信息与HSE部进行最终方案敲定，提交采购计划。
2.移动布控球调试并接入安全平台关联高危作业票。</t>
  </si>
  <si>
    <t>进行移动布控球调试，已预约安全部、清云工程师、中化信息、AI分析识别工程师</t>
  </si>
  <si>
    <t>1.提交采购计划并持续跟踪进度
2.移动布控球调试接入HSE平台关联高危作业票</t>
  </si>
  <si>
    <t>完成未传中化点位的梳理与移动布控球的选型</t>
  </si>
  <si>
    <t>经讨论检查出方案中未提及目前视频监控整体框架及部分基本情况，方案需再进行完善讨论。</t>
  </si>
  <si>
    <t xml:space="preserve">1.移动布控球采购计划流程已结束，预计采购周期30-45天，整改日期为11月底前完成，继续跟进采购进度。
2.视频监控存储方案修改后继续讨论，下周将尽快提交需求方案进行采购
</t>
  </si>
  <si>
    <t>1.已与采购员及中化信息进行初步商务信息的沟通，待确认后续采购方式。
2.继续跟进移动布控球采购进度，并开始开展后续移动布控球连接安全平台事宜</t>
  </si>
  <si>
    <t>1.根据海康厂家提供报价252万，本周已提交安全费用申请，HSE部本周将对扩容方案及视频压缩方案做探讨交流，确认最终实施方案。
2.本周根据公安部门要求，对视频监控存储不足问题下发整改通知单，截止2026年1月1日前整改完成，中化信息给出视频监控预计整改需用时3周，目前需加快流程进度，在12月前完成。
3.中化信息给出最新移动布控球采购进度2周内到货，目前已确定接入海康平台没问题</t>
  </si>
  <si>
    <t xml:space="preserve">1.本周安全费用审批已完成，确认该项目252万安全费用资金。
2.移动布控球11月14日（周五）已发货，下周一开始进行调试并与清云工程师对接安全生产管控平台。
</t>
  </si>
  <si>
    <t xml:space="preserve">1.移动布控球已到仓储部
2.视频监控存储扩容方案已确定，安全费用已全部审批完成，待中化信息确定最新名单（尽量集采）开始采购计划
</t>
  </si>
  <si>
    <t>1.移动布控球已调试完成，目前可以正常接入海康平台
2。视频监控存储扩容方案已跟采购、中化信息、HSE多方进行确认，将最终形成方案的集采设备清单提交采购计划。</t>
  </si>
  <si>
    <t>离子膜智能巡检机器人</t>
  </si>
  <si>
    <t>计划节后交付投入使用</t>
  </si>
  <si>
    <t>试运行</t>
  </si>
  <si>
    <t>操作维护人员培训考核方案并实施</t>
  </si>
  <si>
    <t>试运行，预计10月底完成，11月初验收项目。</t>
  </si>
  <si>
    <t>试运行，继续跟踪巡检机器人运行情况</t>
  </si>
  <si>
    <t>拟定验收报告所需材料，并跟踪后续验收情况，继续保障机器人日常运行</t>
  </si>
  <si>
    <t>1.持续跟踪机器人日常运行状态
2.继续收集巡检机器人验收材料</t>
  </si>
  <si>
    <t>继续跟踪巡检机器人项目情况，保障机器人日常运维，制定项目问题清单</t>
  </si>
  <si>
    <t>AI算法优化</t>
  </si>
  <si>
    <t>试运行，现场检查和培训。9月-10月试运行。</t>
  </si>
  <si>
    <t>10月20日机器人出现故障无法回到基站进行充电，第二天厂家派遣专人来厂检查，经查为机器人云台通讯节点故障，导致云台偏离，已于10月24日修复完成</t>
  </si>
  <si>
    <t>本周形成阶段运行报告，应急局对机器人运行情况的再跟踪</t>
  </si>
  <si>
    <t>1.本周巡检机器人试运行阶段出现避障功能异常，将坡道识别为障碍物情况，厂家对机器人校识参数进行调整，测试后坡道不会再识别坡道错误，目前避障功能正常
2.根据此次事件，需延长1个月左右的试运行时长。</t>
  </si>
  <si>
    <t>智能巡检机器人11月11日出现充电异常情况，故障原因云台旋转180°后，概率出现可视光视频流断流情况，导致无法识别充电桩二维码归位充电</t>
  </si>
  <si>
    <t>智能巡检机器人云台问题本周进行调试修复
继续收集验收材料</t>
  </si>
  <si>
    <t>巡检机器人近期出现问题解决
针对近期出现机器人出现异常情况汇总并做问题分析报告</t>
  </si>
  <si>
    <t>IT资产管理规范化</t>
  </si>
  <si>
    <t>规章制度、资产情况、各类流程、电脑采买、软件安装</t>
  </si>
  <si>
    <t>梳理第一版公司IT资产台账。</t>
  </si>
  <si>
    <t>开始梳理各IT制度，优先制定与本次工作强相关的制度，如《固定资产管理制度》、《IT设备采购与管理办法》、《软件正版化管理制度》。</t>
  </si>
  <si>
    <t>继续完善标准化桌面剩余用户扫盲，根据固定资产清单有575台电脑主机，目前安装标准化桌面仅519台</t>
  </si>
  <si>
    <t>1.继续完成标准化桌面扫盲工作
2.将这次扫出盗版软件用户电脑全部标准化</t>
  </si>
  <si>
    <t>1.继续扫盲标准化电脑进度10台。
2.对所有涉及盗版软件电脑优先安装标准化桌面。</t>
  </si>
  <si>
    <t>剩余未标准化电脑为中控室及部分项目部电脑，下周完成全部中控电脑标准化安装。</t>
  </si>
  <si>
    <t>配合公司纪检室对各部门冗余电脑进行核查，回收部分公用电脑并同时进行标准化电脑查漏补缺</t>
  </si>
  <si>
    <t>准备IT资产管理规范编制（参考现有规范，成熟方案）
包括：分类，编码规则，配备标准，管理流程</t>
  </si>
  <si>
    <t>目前总台账梳理共519台在册并全部完成标准化安装</t>
  </si>
  <si>
    <t>继续完善标准化台账，梳理需求制度清单</t>
  </si>
  <si>
    <t>1.本周完成剩余标准化13台，目前进度532台
2.上周扫出盗版软件用户13台，已处理5台，剩余电脑安排标准化桌面安装</t>
  </si>
  <si>
    <t>1.根据最新台账数据显示，目前剩余未标准化电脑（32台），标准化进度（94%）
2.根据最新扫描盗版软件情况，涉及使用人15人，剩余6位人员已卸载软件，下周进行标准化桌面安装。</t>
  </si>
  <si>
    <t>1.根据最新台账数据显示，目前剩余未标准化电脑（21台），标准化进度（96.25%）
2.本周已完成除特殊情况员工外全部员工正版软件承诺书签署。</t>
  </si>
  <si>
    <t>1.根据最新台账数据显示，目前剩余未标准化电脑（9台），标准化进度（98.4%）
2.配合公司纪检室对各部门冗余电脑进行核查，回收部分公用电脑并同时进行标准化电脑查漏补缺</t>
  </si>
  <si>
    <t xml:space="preserve">1.根据目前最新台账线上，目前标准化电脑已全部完成。
2.根据与纪检对各部门今年大督查行动形成的各部门冗余公用电脑台账共41台，近期对冗余电脑进行收回用于后续电脑再调配使用。
</t>
  </si>
  <si>
    <t>瑞恒员工考勤管理系统</t>
  </si>
  <si>
    <t>考勤、人员工作量化、会议系统</t>
  </si>
  <si>
    <t>与李书记和党群部领导进一步沟通需求</t>
  </si>
  <si>
    <t>继续跟进人力系统需优化方面需求</t>
  </si>
  <si>
    <t>完成瑞兆科、产业园公司现场调研，形成考勤打卡方案</t>
  </si>
  <si>
    <t>完善方案，方案可行性探讨</t>
  </si>
  <si>
    <t>11月24日（周一）下午，已预约李磊书记、党群及仓储部领导进行沟通，</t>
  </si>
  <si>
    <t>后续将由霍尼工程师对用户各需求做进一步调研，等全部业务梳理完成后再进行下一步工作安排</t>
  </si>
  <si>
    <t>1.本周与党群部和综合部领导协调在线考勤系统上线实施，与钉钉专家进行沟通，制定最新需求报告
2.员工工作量化进一步交流，在产业园公司对系统性管理方式进行交流学习。</t>
  </si>
  <si>
    <t>根据现场调研，瑞恒厂区现场需布置考勤机19个，现场至就近电信间需敷设910米网线、910米电源线</t>
  </si>
  <si>
    <t>对瑞兆科、产业园公司已调研，目前考勤点位共23个，已与李磊书记汇报并形成考勤方案初稿</t>
  </si>
  <si>
    <t>员工价值量化，公司仓储部已形成初步仓储部岗位任务清单</t>
  </si>
  <si>
    <t>关于瑞恒员工绩效管理需求，马总带领团队在瑞恒做了进一步沟通，目前瑞恒以仓储部为试点开始实行，将每一个工作项细化进其归属业务系统中</t>
  </si>
  <si>
    <t>产业链</t>
  </si>
  <si>
    <t>生产基地/业务单元</t>
  </si>
  <si>
    <t>阶段状态</t>
  </si>
  <si>
    <t>应用领域</t>
  </si>
  <si>
    <t>共享中心</t>
  </si>
  <si>
    <t>共享中心责任人</t>
  </si>
  <si>
    <t>报告期</t>
  </si>
  <si>
    <t>01-中间体</t>
  </si>
  <si>
    <t>扬农集团</t>
  </si>
  <si>
    <t>01-未开始</t>
  </si>
  <si>
    <t>01-采购</t>
  </si>
  <si>
    <t>01-业务经营</t>
  </si>
  <si>
    <t>1月</t>
  </si>
  <si>
    <t>02-环氧树脂</t>
  </si>
  <si>
    <t>江苏瑞祥</t>
  </si>
  <si>
    <t>02-营销</t>
  </si>
  <si>
    <t>02-生产运营</t>
  </si>
  <si>
    <t>张巾</t>
  </si>
  <si>
    <t>2月</t>
  </si>
  <si>
    <t>03-工程塑料</t>
  </si>
  <si>
    <t>江苏瑞恒</t>
  </si>
  <si>
    <t>03-生产</t>
  </si>
  <si>
    <t>03-管理应用</t>
  </si>
  <si>
    <t>3月</t>
  </si>
  <si>
    <t>04-添加剂</t>
  </si>
  <si>
    <t>宁夏瑞泰</t>
  </si>
  <si>
    <t>04-暂停</t>
  </si>
  <si>
    <t>04-物流</t>
  </si>
  <si>
    <t>04-基设网安</t>
  </si>
  <si>
    <t>4月</t>
  </si>
  <si>
    <t>05-中化河北</t>
  </si>
  <si>
    <t>江苏瑞兆科</t>
  </si>
  <si>
    <t>05-√部分</t>
  </si>
  <si>
    <t>05-HSE</t>
  </si>
  <si>
    <t>05-N/A</t>
  </si>
  <si>
    <t>李晶玮</t>
  </si>
  <si>
    <t>5月</t>
  </si>
  <si>
    <t>06-中化高纤</t>
  </si>
  <si>
    <t>扬农锦湖</t>
  </si>
  <si>
    <t>06-财务</t>
  </si>
  <si>
    <t>宣安来</t>
  </si>
  <si>
    <t>6月</t>
  </si>
  <si>
    <t>07-培育平台</t>
  </si>
  <si>
    <t>圣奥化学</t>
  </si>
  <si>
    <t>07-取消</t>
  </si>
  <si>
    <t>07-职能办公</t>
  </si>
  <si>
    <t>7月</t>
  </si>
  <si>
    <t>08-总部及直属</t>
  </si>
  <si>
    <t>安徽圣奥</t>
  </si>
  <si>
    <t>08-N/A</t>
  </si>
  <si>
    <t>08-基础设施</t>
  </si>
  <si>
    <t>李亨翡</t>
  </si>
  <si>
    <t>8月</t>
  </si>
  <si>
    <t>09-营销平台</t>
  </si>
  <si>
    <t>山东圣奥</t>
  </si>
  <si>
    <t>09-网络安全</t>
  </si>
  <si>
    <t>9月</t>
  </si>
  <si>
    <t>10-N/A</t>
  </si>
  <si>
    <t>泰安圣奥</t>
  </si>
  <si>
    <t>10-研发</t>
  </si>
  <si>
    <t>10月</t>
  </si>
  <si>
    <t>连云港圣奥</t>
  </si>
  <si>
    <t>11-数据应用</t>
  </si>
  <si>
    <t>11月</t>
  </si>
  <si>
    <t>江苏富比亚</t>
  </si>
  <si>
    <t>12-控制优化</t>
  </si>
  <si>
    <t>12月</t>
  </si>
  <si>
    <t>南通星辰</t>
  </si>
  <si>
    <t>99-其他</t>
  </si>
  <si>
    <t>王蕾</t>
  </si>
  <si>
    <t>星辰芮城</t>
  </si>
  <si>
    <t>刘鑫</t>
  </si>
  <si>
    <t>扬州ABS</t>
  </si>
  <si>
    <t>董俊</t>
  </si>
  <si>
    <t>中化滏恒</t>
  </si>
  <si>
    <t>赵俊</t>
  </si>
  <si>
    <t>中化滏鼎</t>
  </si>
  <si>
    <t>张羽翔</t>
  </si>
  <si>
    <t>中化鑫宝</t>
  </si>
  <si>
    <t>吴晶晶</t>
  </si>
  <si>
    <t>中化高纤</t>
  </si>
  <si>
    <t>成都新材</t>
  </si>
  <si>
    <t>孙聪</t>
  </si>
  <si>
    <t>宁波润沃</t>
  </si>
  <si>
    <t>扬州锂电</t>
  </si>
  <si>
    <t>淮安骏盛</t>
  </si>
  <si>
    <t>顾明军</t>
  </si>
  <si>
    <t>连云港园区（罐区码头）</t>
  </si>
  <si>
    <t>陈璞</t>
  </si>
  <si>
    <t>淮河化工</t>
  </si>
  <si>
    <t>马天明</t>
  </si>
  <si>
    <t>中卫锂电</t>
  </si>
  <si>
    <t>丁骞</t>
  </si>
  <si>
    <t>中化国际</t>
  </si>
  <si>
    <t>梁诚</t>
  </si>
  <si>
    <t>产业资源</t>
  </si>
  <si>
    <t>黄云</t>
  </si>
  <si>
    <t>科创中心</t>
  </si>
  <si>
    <t>N/A</t>
  </si>
  <si>
    <t>陈静玮</t>
  </si>
  <si>
    <t>余知非</t>
  </si>
  <si>
    <t>陆正峰</t>
  </si>
  <si>
    <t>王骅俊</t>
  </si>
  <si>
    <t>王翀</t>
  </si>
  <si>
    <t>陈沁翔</t>
  </si>
  <si>
    <t>于浩</t>
  </si>
  <si>
    <t>刘阳</t>
  </si>
  <si>
    <t>提出日期</t>
  </si>
  <si>
    <t>提出人</t>
  </si>
  <si>
    <t>所属范围</t>
  </si>
  <si>
    <t>事项</t>
  </si>
  <si>
    <t>回复</t>
  </si>
  <si>
    <t>中间体产业链</t>
  </si>
  <si>
    <t>1）瑞恒人力资源部提出报表需求，数据源为集团HR系统，要求在瑞恒MES中开发报表，用户提出手动从集团HR系统下载数据，再上传报表平台。</t>
  </si>
  <si>
    <t>建议使用扬农BI或化数仓实现，最好直连数据源。实在不行，临时在MES实现，但严格控制需求范围仅为报表。</t>
  </si>
  <si>
    <t>整体</t>
  </si>
  <si>
    <t>6，7，8 月份项目资料整理检查， 中间体WMS、瑞恒的MES、河北MES，博科ERP，BIP，CRM等，扬州和南通各派一个人</t>
  </si>
  <si>
    <t>周报各条线督促，提高周报质量，适当考虑用系统</t>
  </si>
  <si>
    <t>CRM各产业链付款请张敏统筹</t>
  </si>
  <si>
    <t>BIP瑞恒的个性化需求集中到中间体整体的需求，建议先看其他兄弟单位的需求，他们的需求暂缓</t>
  </si>
  <si>
    <t>中化信息和扬农的弱电的框架协议</t>
  </si>
  <si>
    <t>三季度的ERP升级计划，包括医药健康等的推进-赵主任</t>
  </si>
  <si>
    <t>南通星辰项目下月转正常运维</t>
  </si>
  <si>
    <t>CRM二期立项下半周讨论方案</t>
  </si>
  <si>
    <t>7月第二周准备给兰总做一次汇报</t>
  </si>
  <si>
    <t>一体化经营管理平台，准备汇报材料，择时进行汇报</t>
  </si>
  <si>
    <t>信创项目需确保年底前完成，将和中化国际与中化信息的绩效考评进行挂钩</t>
  </si>
  <si>
    <t>设备管理安全评估的计划安排顾涛协调后给出建议</t>
  </si>
  <si>
    <t>正版化涉及的整改报告，需要请关总确认后答复集团</t>
  </si>
  <si>
    <t>等保分别与各项目商定签署合同</t>
  </si>
  <si>
    <t>霍尼韦尔运维考虑交接问题，安排运维策略偏个性化的运维培养自有人员接手，标准化的交由霍尼韦尔团队提供</t>
  </si>
  <si>
    <t>计划开个上半年工作总结会议</t>
  </si>
  <si>
    <t>十五五规划安排内部讨论沟通</t>
  </si>
  <si>
    <t>扬农网络共享文件夹迁移需要确定推进计划。
目前，大量用户的域帐户密码过期，申请重置密码，要求改为永不过期。存在较大网络安全隐患。</t>
  </si>
  <si>
    <t>1.桌面运维工单18个，处理打印机问题7个，硬件问题3个，软件问题8个
2.持续进行老旧电脑升级</t>
  </si>
  <si>
    <t>1.瑞祥瑞泰上线试运行，问题跟踪和修复；
2.瑞泰存销数据WMS取数，预计11月初商务确定后开展；
3.三家工厂的报工集成WMS/SAP调试；</t>
  </si>
  <si>
    <t xml:space="preserve">   二期个性化推进（国际部分)
   1）薪酬审批功能
       a）完成历史薪酬人事范围初始化工作
       b）保障功能正常运行
   2）薪资测算（目标年薪、目标奖金、十三薪）
         a) 梳理定调薪档案中固薪月数及奖金占比
         b）保障系统功能正常运行
 sap HR服务器迁移： 
1、服务器搬迁方案HR确认完成，并回复后续需要开通堡垒机账号14个
2、搬迁报价需要压价，待中化信息回复</t>
  </si>
  <si>
    <t>配合集团调研方案和计划开展调研</t>
  </si>
  <si>
    <t>03-实施</t>
  </si>
  <si>
    <t>基础设施运维</t>
  </si>
  <si>
    <t xml:space="preserve">1.桌面运维工单21个，处理打印机问题3个，硬件问题2个，软件问题9个，网络问题4个，账号问题3个
</t>
  </si>
  <si>
    <t>1.继续跟进移动布控球配置使用情况
2.继续跟进视频监控扩容采购进度</t>
  </si>
  <si>
    <t>1.本周已将移动布控球配置完成并能正常接入海康平台及安全平台，后续继续跟进布控球关联高危作业票及布控球画面配置AI识别功能。
2.视频监控存储扩容方案采购计划已跟采购部达成一致并已提交，目前已到采购部节点，后续将以集采形式采购。</t>
  </si>
  <si>
    <t>根据巡检机器人近期运行情况，预计2025年12月9日13:30召开运行分析会议，届时氯碱车间、电仪部、安全部、厂家共同参加分析会议</t>
  </si>
  <si>
    <t>持续跟踪机器人近期情况，保障日常运行正常</t>
  </si>
  <si>
    <t>准备开始编制IT相关管理制度</t>
  </si>
  <si>
    <t xml:space="preserve">1.根据今年配合纪检大督查行动，预计收回41台电脑 目前已收回5台电脑36台电脑标记明使用人及用途，经各部门领导确认无误，暂时不收回。收回5台公用电脑用以后续公司电脑调剂使用。
</t>
  </si>
  <si>
    <t>继续对员工价值量化试点仓储部各项数据进行梳理归属平台，跟进后续实施方案</t>
  </si>
  <si>
    <t>瑞恒公司考勤管理方案目前决定以小范围人群为试点，进行方案可行性试验</t>
  </si>
  <si>
    <t>2025年CRM项目进展：
1.圣奥CRM上线支持
2.瑞恒TMS系统上线支持
3.中化高纤上线支持
4.中化河北用户UAT测试
5.锦湖TMS项目功能实施
6.中间体TMS 合同推进
7.特材事业部CRM&amp;TMS方案评估
8.工塑CRM三期优化功能实施中</t>
  </si>
  <si>
    <t>2025年CRM项目进展：
1.圣奥CRM上线支持
2.瑞恒TMS系统上线支持
3.中化高纤上线支持
4.环氧CRM优化项目合同事项推进（待锦湖内部走合同流程）
5.中化河北集成测试中
6.锦湖TMS系统功能实施中。
7.工塑CRM三期优化项目完成客诉功能CRM-OA集成开发，待测试
8.中间体TMS项目确认人天、目前合同事宜推进中
9.特材事业部业务沟通，CRM&amp;TMS业务框架已明确，待评估方案提供报价</t>
  </si>
  <si>
    <t>1、系统优化方案设计
1）迁移到一体化平台：完成界面风格调整，内部测试
2）结合日成本实施，梳理完善瑞祥瑞泰模型</t>
  </si>
  <si>
    <t>1、系统优化方案设计
1）迁移到一体化平台：完成权限配置，界面风格调整完成40%，迁移后的填报编码控制等疑难问题分析研究
2）装置负荷-单耗分析方案，DEMO设计</t>
  </si>
  <si>
    <t>1.鑫宝：优化需求已经反馈，待讨论；
2.瑞泰：正在收集优化需求；
3.瑞恒：本周新增了部分生产运营部优化需求；
4.圣奥：暂无需求；</t>
  </si>
  <si>
    <t>1.梳理组织角色人员矩阵、节点逻辑、界面字段信息来源及逻辑；
2.霍尼编制运维外包方案；</t>
  </si>
  <si>
    <t>1.收集优化需求；
2.梳理优化需求;</t>
  </si>
  <si>
    <t>1、上线支持和问题解决；
2、HFM报表合并数据持续核对；</t>
  </si>
  <si>
    <t>1、处理上线问题清单中未关闭项（上线后问题清单总计28项，已闭环解决28项）
2、完成WMS项目验收报告签署
3、增补需求采购的商务谈判（OA流程审批中）</t>
  </si>
  <si>
    <t>1、环氧/河北试运行上线遗留问题处理
2、添加剂S4取数-接口取数及数据检查
3、日成本效益推广（南通星辰、河北鑫宝）：
1）跟进MES投入产出数据完善，配合用户测试与数据验证
2）完成测试，开放月度预估数据填报功能
4、日成本效益模型推广（瑞祥、瑞泰）：
1）明确属地用户（财务、生产），制定实施计划
2）模型功能介绍，业务情况及需求沟通
3）MES工艺数据、物料数据，梳理与映射
5、毛利因素分析：逻辑/数据梳理，Demo开发</t>
  </si>
  <si>
    <t xml:space="preserve">1、处理上线问题
2、专项处理瑞泰报工WMS&amp;MES接口对接事项
3、待增补需求采购的商务谈判流程审批完，发起正式商谈
4、WMS存销数据传MES接口提前对接事项，内部流程审批审批中（供应商的内部流程，预计本周具备对接条件）
</t>
  </si>
  <si>
    <t>1、25年优化：
产业链优化以及供应商分类优化功能设计确认；
产业链优化以及供应商分类优化功能工作量确认；
25年优化增补工作量确认；
25年优化上线支持；
2、租户合并
完成测试环境数据问题验证。
完成测试环境脚本测试。
完成测试环境接口联调测试。
输出用户测试脚本、测试数据。
配合测试环境流程测试。
对系统部分场景做性能调优。</t>
  </si>
  <si>
    <t>1、25年优化：
产业链优化以及供应商分类需求补充沟通；
产业链优化以及供应商分类优化功能开发清单整理以及工作量评估；
产业链优化及供应商分类优化功能设计调整；
25年优化上线支持；
2、租户合并：
测试环境数据问题验证。
测试环境脚本测试。
测试环境接口联调测试。
技术侧测试问题解决。
优化需求开发，功能代码调整。</t>
  </si>
  <si>
    <t>产业链优化及供应商分类优化功能设计调整；</t>
  </si>
  <si>
    <t>25年优化上线支持；</t>
  </si>
  <si>
    <t>2、租户合并：</t>
  </si>
  <si>
    <t>测试环境数据问题验证。</t>
  </si>
  <si>
    <t>测试环境脚本测试。</t>
  </si>
  <si>
    <t>测试环境接口联调测试。</t>
  </si>
  <si>
    <t>技术侧测试问题解决。</t>
  </si>
  <si>
    <t>优化需求开发，功能代码调整。</t>
  </si>
  <si>
    <t>1、完成博华在瑞祥、瑞泰的调研；
2、完成容知对瑞恒没有电压信号设备的调研；
3、收集三家供应商的报价；
4、进行需求说明书的完善，待讨论</t>
  </si>
  <si>
    <t>1、讨论并修改需求说明书；
2、沟通采购方式；
3、根据调研方案确定设备范围。</t>
  </si>
  <si>
    <t>1、4个系统信创已完成
2、中间体EAM系统信创需要二次评估，供应商方案做了调整，服务器资源和信创许可需要增加，超出了原立项金额</t>
  </si>
  <si>
    <r>
      <t>化工事业部：</t>
    </r>
    <r>
      <rPr>
        <b/>
        <sz val="10"/>
        <color rgb="FF000000"/>
        <rFont val="微软雅黑"/>
        <family val="2"/>
        <charset val="134"/>
      </rPr>
      <t>研发管理平台建设</t>
    </r>
    <r>
      <rPr>
        <sz val="11"/>
        <color theme="1"/>
        <rFont val="等线"/>
        <family val="2"/>
        <scheme val="minor"/>
      </rPr>
      <t>（工塑研发&amp;检测、高纤研发项目管理）</t>
    </r>
  </si>
  <si>
    <t>1、资产租赁无变化
2、连云港机房消防，正在整备立项材料，询比价采购
3、审计部AI助手需求尚不明确，项目暂时停止
4、圣奥AI智能体已搭建完成，和圣奥约了下周测试
5、移动套餐方案已于上周给出</t>
  </si>
  <si>
    <t>1、首月及月结情况总结；
2、持续支持和系统问题总结</t>
  </si>
  <si>
    <t>1、上线支持和月结支持，HFM报表核对；
2、月结和上线一周问题调研总结：
财务部分：1）HFM报表和关联交易平台核对中，存在需要逻辑调整部分2）月结过程由于移动类型使用和配置错误，导致公用工程单价出现偏差；3）成本报表和产销存报表不适用，需要新开发；
业务部分：1）工单消耗由于MES停用后，AOP的日报表缺失，没有形成日清月结，需要后续进一步优化；
2）SRM存在问题较多，导致部分收货和结算都受阻，已经集中反馈到SRM组，需后期优化后进一步培训；
3）地磅环节目前没有的AOP打通，存在重复人力操作，需后期添加剂立项进一步优化</t>
  </si>
  <si>
    <t>二期个性化（国际部分)
1、薪酬审批功能协助用户运行支持
2、薪酬测算功能协助用户运行支持，初始化固薪月数、奖金占比</t>
  </si>
  <si>
    <t>与产业链沟通准备运维交接</t>
  </si>
  <si>
    <t xml:space="preserve">1、环氧/河北试运行上线遗留问题处理
2、S4取数接口开发完成
3、日成本效益推广（南通星辰）：
1）属地梳理、安排生产数据填报
2）完成填报界面开发，内部测试
4、日成本效益推广（河北鑫宝）
1）完成MES数据缺失项的补充，重新计算、核对。
2）仍有部分投入产出比例有偏差，继续核对、修正。
5、瑞祥、瑞泰日成本实施准备
1）实施准备，检查、梳理瑞祥、瑞泰MES数据
6、毛利因素分析：业务逻辑沟通
7、驾驶舱设计方案优化讨论
</t>
  </si>
  <si>
    <t>中间体WMS推广（瑞祥）
（月度跟踪）</t>
  </si>
  <si>
    <t>1、中化高纤：根据上周会议确认的研发产品管理方案进行配置和测试。
2、工塑：本周与PIMP项目组持续测试。</t>
  </si>
  <si>
    <t>1、中化高纤：开展研发产品管理的方案沟通会，确认方案。
2、工塑：本周与PIMP项目组持续测试。</t>
  </si>
  <si>
    <t>1.正在梳理组织角色人员矩阵、流程节点逻辑、界面字段信息来源及逻辑；
2.将运维需求递交到霍尼，霍尼正在编制方案；</t>
  </si>
  <si>
    <t xml:space="preserve">
   二期个性化（国际部分)
1.薪酬审批功能协助用户运行支持与保障
2.薪酬测算功能协助用户运行支持，初始化固薪月数、奖金占比</t>
  </si>
  <si>
    <t xml:space="preserve">   二期个性化推进（国际部分)
   1）薪酬审批功能
       协助用户发起审批单并验证数据
   2）薪资测算（目标年薪、目标奖金、十三薪）
        a) 初始化定调薪档案中固薪月数及奖金占比，本周完成中化科技与科创中心初始化
        b）保障系统功能正常运行
    3）二期上线报告签署完成</t>
  </si>
  <si>
    <t>日常运维</t>
  </si>
  <si>
    <t>1.继续跟进采购计划
2.经理室要求各车间至少配备一台移动布控球，各部门车间与经理室核对，按高危作业需求将需求提交至电仪部统一采购。</t>
  </si>
  <si>
    <t>1.本周因硬盘价格上浮，中化信息优化方案，决定减少采购硬盘数量，增加单个硬盘存储容量的方式控制成本
2.布控球接入安全平台画面参数不正确，校正并调试无误。
存储配置已调试无误。</t>
  </si>
  <si>
    <t>拟定验收报告所需材料，并跟踪后续验收情况，继续保障机器人日常运行</t>
  </si>
  <si>
    <t>巡检机器人近期运行及故障报告汇报会</t>
  </si>
  <si>
    <t>1.协助完成资产统计
2.IT制度框架讨论+编写</t>
  </si>
  <si>
    <t>1.协助完成公司资产（打印机，投影，服务器，核心交换等设备）的梳理
2.IT资产相关制度收集</t>
  </si>
  <si>
    <t>已与领导汇报考勤系统的利弊待李磊总考虑是否继续推进考勤管理系统</t>
  </si>
  <si>
    <t>1、迁移到一体化平台
1）部署测试环境；
2）针对迁移后的功能、界面，内部测试与完善；
2、装置负荷-单耗分析
1）DEMO发布，生产用户沟通；</t>
  </si>
  <si>
    <t>1、迁移到一体化平台
1）完成菜单、角色、权限迁移，梳理、完善；
2）完成界面风格调整的页面开发；
2、装置负荷-单耗分析
1）完善DEMO设计；</t>
  </si>
  <si>
    <t>调研事业部下属19家HSE自建系统企业；
组织按照集团调研方案和计划开展调研。</t>
  </si>
  <si>
    <t>配合集团调研方案和计划开展调研</t>
  </si>
  <si>
    <t>2025年CRM项目进展：
1.圣奥CRM上线支持
2.瑞恒TMS系统上线支持
3.中化高纤上线支持
4.环氧CRM优化项目合同事项推进（待锦湖内部走合同流程）
5.中化河北二期完成上线准备，切换上线
6.锦湖TMS系统功能实施中，与SAP集成需求完成沟通
7.工塑CRM三期优化项目完成客诉功能完成用户UAT测试
8.中间体TMS项目合同签署中
9.特材事业部销售业务沟通，CRM完成方案评估及报价
10.CRM ai 已提供初步方案评估及报价</t>
  </si>
  <si>
    <t>1、上线支持和问题解决；
2、问题整改和年结准备；</t>
  </si>
  <si>
    <t>1、上线支持和问题解决；
2、就财务月结问题做了总结开会，确认移动类型使用规范、新增产销存报表和成本报表；
3、就数量单位TO到T的各系统统一切换开会，制定方案计划；</t>
  </si>
  <si>
    <t xml:space="preserve">1、完成需求说明书的第一轮沟通并进行完善；
2、与中间体事业部风控及采购领导完成采购方式评估，确定采用公开招标的方式；
3、联系部分供应商补充技术方案的要点说明；
4、完善各家调研方案对比，进度90%
</t>
  </si>
  <si>
    <t>1、中化高纤：根据上周会议确认的研发产品管理方案进行配置和测试。
2、工塑：本周与PIMP项目组持续测试。</t>
  </si>
  <si>
    <t>1、中化高纤：本周与研发产品管理项目组持续测试。
2、工塑：本周与PIMP项目组持续测试。</t>
  </si>
  <si>
    <t>2025年CRM项目进展：
1.圣奥CRM上线支持
2.瑞恒TMS系统上线支持
3.中化高纤上线支持
4.中化河北二期上线支持
5.锦湖TMS项目功能接口功能开发，主体销售业务的物流调度功能用户UAT测试
6.中间体TMS 合同推进，项目准备
7.特材事业部CRM临时方案沟通
8.工塑CRM三期优化功能实施中</t>
  </si>
  <si>
    <t>1.瑞祥瑞泰上线试运行，问题跟踪和修复；
2.瑞泰存销数据WMS取数；
3.三家工厂的报工集成WMS/SAP调试；
4.瑞祥瑞泰与HSE的集成调试；</t>
  </si>
  <si>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xml:space="preserve">；
1.2.试运行：累计提出144个问题，累计修复120个问题，剩余23个问题，本周新增5个问题，本周修复12个问题；持续改善模块的T会使用情况部分车间工段未按计划执行；
1.3.HSE集成：HSE接口网络开通，合同审批流程；
</t>
    </r>
    <r>
      <rPr>
        <b/>
        <sz val="9"/>
        <color rgb="FF000000"/>
        <rFont val="微软雅黑"/>
        <family val="2"/>
        <charset val="134"/>
      </rPr>
      <t>2.瑞泰实施：</t>
    </r>
    <r>
      <rPr>
        <sz val="11"/>
        <color theme="1"/>
        <rFont val="等线"/>
        <family val="2"/>
        <scheme val="minor"/>
      </rPr>
      <t xml:space="preserve">
2.1.试运行：累计提出137个问题，累计修复114个问题，剩余15个问题，本周新增4个问题，本周修复12个问题；完成对问题列表的内容进行梳理和要求；
2.2.WMS集成：存销日报表数据从WMS抽取，目前暂无进展；
</t>
    </r>
    <r>
      <rPr>
        <b/>
        <sz val="9"/>
        <color rgb="FF000000"/>
        <rFont val="微软雅黑"/>
        <family val="2"/>
        <charset val="134"/>
      </rPr>
      <t>3.WMS/SAP集成（三家工厂）：对瑞泰的进行了测试，发现WMS与SAP的接口未通过，需要WMS和SAP尽快配合测试；</t>
    </r>
  </si>
  <si>
    <t>1.正在梳理组织角色人员矩阵、流程节点逻辑、界面字段信息来源及逻辑，本周可以提供一版；
2.霍尼正在编制方案；</t>
  </si>
  <si>
    <t>1.鑫宝：优化需求已经收集；
2.瑞泰：正在收集；
3.瑞恒：本周新增了部分生产运营部优化需求；
4.瑞祥：优化需求已经收集；
4.圣奥：暂无需求；</t>
  </si>
  <si>
    <t>1.梳理组织角色人员矩阵、节点逻辑、界面字段信息来源及逻辑；
2.霍尼编制运维外包方案；</t>
  </si>
  <si>
    <t>1.收集优化需求；
2.梳理优化需求;</t>
  </si>
  <si>
    <t>1、继续完成上周两个接口工作内容</t>
  </si>
  <si>
    <t xml:space="preserve">1、处理上线问题
2、专项处理瑞泰报工WMS&amp;MES接口对接事项（三方工程师于12月11日上午9点进行前期问题汇总和接下来测试问题推演及后续调整。计划12月18日之前完成此次联调。）
3、12月10日周三下午双方工程师已经开始对接中，预期一周完成。
</t>
  </si>
  <si>
    <t>1、环氧/河北试运行上线遗留问题处理
2、日成本效益推广（南通星辰、河北鑫宝）：
1）跟进MES投入产出数据完善，配合用户测试与数据验证
2）测试三张配置报表
3、日成本效益模型推广（瑞祥、瑞泰）：
1）瑞祥瑞泰MES工艺数据梳理，疑难问题沟通
2）生产及业务数据取数，初步核对
3）搭建瑞祥模型
4、毛利因素分析模型：
1）数据加工及模型搭建</t>
  </si>
  <si>
    <t xml:space="preserve">1、环氧/河北试运行上线遗留问题处理
2、添加剂S4取数-完成
3、日成本效益推广（南通星辰、河北鑫宝）：
1）南通星辰MES平台组织完善数据填报，已确定方案，组织补充开发
2）测试月度预估数据填报功能，修改完善；完成三张配置报表开发；
3）配置三家公司的日成本定时任务（每天9点，计算前一天数据）
4、日成本效益模型推广（瑞祥、瑞泰）：
1）明确属地用户（财务、生产），制定实施计划
2）模型功能介绍，业务情况及需求沟通
3）开始瑞祥瑞泰MES工艺数据、物料数据梳理
5、毛利因素分析：
1）梳理业务逻辑，确定数据范围
2）进行数据采集及预处理
6、中间体产业链运维交接前报表数据确认搜集
财务-：排除驾驶舱6个问题外，报表问题86个（扬农集团-11，瑞恒-34，瑞泰-29，瑞祥-12）
营销：2个；生产（53个）：瑞恒-28，瑞祥-22，瑞泰-3
</t>
  </si>
  <si>
    <t>关总：本周（12月15日）做好调研梳理和初步规划，下周找时间专题讨论。</t>
  </si>
  <si>
    <t>中间体系统当家业务流程优化（停止跟踪）</t>
  </si>
  <si>
    <t>马天明/姚晓龙</t>
  </si>
  <si>
    <t>02-正常进行</t>
  </si>
  <si>
    <t>03-实施</t>
  </si>
  <si>
    <r>
      <t xml:space="preserve">
</t>
    </r>
    <r>
      <rPr>
        <b/>
        <sz val="9"/>
        <color rgb="FFFF0000"/>
        <rFont val="微软雅黑"/>
        <family val="2"/>
        <charset val="134"/>
      </rPr>
      <t>结合ERP升级改月跟踪</t>
    </r>
  </si>
  <si>
    <t>计划</t>
  </si>
  <si>
    <t>1、收集数字化转型组织人员名单。</t>
  </si>
  <si>
    <r>
      <t>1、</t>
    </r>
    <r>
      <rPr>
        <sz val="9"/>
        <color rgb="FFFD4147"/>
        <rFont val="微软雅黑"/>
        <family val="2"/>
      </rPr>
      <t>跟踪扬农月结推迟的实施情况；</t>
    </r>
    <r>
      <rPr>
        <sz val="11"/>
        <color rgb="FF000000"/>
        <rFont val="微软雅黑"/>
        <family val="2"/>
      </rPr>
      <t xml:space="preserve">
2、发布《数字化转型组织》；
3、梳理工作实施</t>
    </r>
  </si>
  <si>
    <t>召开项目实施启动会</t>
  </si>
  <si>
    <t>开展营销业务业务流程调研。
协调外部资源参与（张浩，何继宏博士）。</t>
  </si>
  <si>
    <t>组织内外部专家进行营销流程分析</t>
  </si>
  <si>
    <t>1、继续开展销售业务流梳理。
2、供应链中心流程梳理工作沟通</t>
  </si>
  <si>
    <t>1、供应链中心流程梳理工作沟通（进行中）</t>
  </si>
  <si>
    <t>1、初步形成中间体销售运费结算优化方案；
2、供应商中心流程、制度、表单收集。</t>
  </si>
  <si>
    <t>1、运费结算方案财务汇报；物流一卡通对接星辰物流平台方案确定；
2、仓储业务流程梳理、表单收集</t>
  </si>
  <si>
    <t>1、组织工程中心启用OA&amp;SAP工程服务计划流程到订单和付款业务，支持总部基建项目
2、仓储业务流程梳理、表单收集
3、优化供应链11个采购管理流程审批流和节点控制（进行中）</t>
  </si>
  <si>
    <t>1、OA&amp;SAP工程服务计划流程到订单和付款业务流程改造
2、优化供应链11个采购管理流程审批流和节点控制调整
3、采购&amp;销售（中间体事业部）运费管理方案蓝图调整（参考全产业链方案）</t>
  </si>
  <si>
    <t>1、沟通中间体事业部业务流程优化项目与化工事业部经营分析平台建设项目的融合事项；区分当期实施内容</t>
  </si>
  <si>
    <t>1、参与经营分析体系建设项目业务调研（研讨会）</t>
  </si>
  <si>
    <t>1、根据经营分析体系建设项目组上周调研结果，梳理流程优化清单。（需要马总协调刘阳总相关资源）</t>
  </si>
  <si>
    <t>1、与业务确定运费及储运管控需求，设计物流一卡通优化事项。(资源以IT和业务方为主，供应商辅助)</t>
  </si>
  <si>
    <t>1、对应指标事项，梳理优先的业务流程清单（进行中）
2、本周启动物流类优化（含中间体自身物流优化和星辰CRM对接一卡通事项）</t>
  </si>
  <si>
    <r>
      <t xml:space="preserve">1、对应指标事项，梳理优先的业务流程清单（进行中）
2、物流流程管控优化开发调整；
</t>
    </r>
    <r>
      <rPr>
        <sz val="9"/>
        <color rgb="FFFF0000"/>
        <rFont val="微软雅黑"/>
        <family val="2"/>
      </rPr>
      <t>3、关总：整理ERP升级优化需求。</t>
    </r>
  </si>
  <si>
    <t>1、整理ERP升级优化需求
2、物流流程管控优化开发调整（对接南通星辰CRM；系统自身功能优化，如易制毒管控、客户线上签收、现场批控仪对接发货（试运行）、船运等）；</t>
  </si>
  <si>
    <t>1、整理ERP升级优化需求（进行中）
2、业务流程管控优化
1)对接南通星辰CRM（接口测试）
2)物流系统自身优化新增车辆VIP权限（重新验证测试）；现场批控仪对接发货（试运行转正常运行）；物流对接中间体CRM接口开发。</t>
  </si>
  <si>
    <t>1、整理ERP升级优化需求（进行中）
2、业务流程管控优化
1)对接南通星辰CRM（完成2个接口测试）
2)物流系统自身优化新增车辆VIP权限（重新上线）；物流一卡通对接中间体CRM方案修正；
3)瑞恒高层OA审批流梳理</t>
  </si>
  <si>
    <t>1、整理ERP升级优化需求（进行中，月底给出最终版给领导确认）
2、业务流程管控优化
1)对接南通星辰CRM（上线准备）
2)物流系统微信小程序用户隐私信息登陆界面功能开发）；
3)瑞恒高层OA审批流梳理</t>
  </si>
  <si>
    <t>1、整理ERP升级优化需求（发邮件）
2、业务流程管控优化
1）对接南通星辰CRM
2）物流系统微信小程序用户隐私信息登陆界面功能开发；数据加密同步整改中。
3）瑞恒高层OA审批流梳理
4）中间体事业部运费管理方案讨论</t>
  </si>
  <si>
    <t>1、整理ERP升级优化需求
2、业务流程管控优化
1）对接南通星辰CRM（环氧TMS上线支持）
2）物流系统微信小程序用户隐私信息登陆界面功能开发（提交网安组验收）；数据加密同步整改中。
3）梳理瑞泰高层OA审批流
4）中间体事业部运费管理方案讨论</t>
  </si>
  <si>
    <r>
      <t>1、整理ERP升级优化需求（汇总中）</t>
    </r>
    <r>
      <rPr>
        <b/>
        <sz val="9"/>
        <color rgb="FFFD4147"/>
        <rFont val="微软雅黑"/>
        <family val="2"/>
        <charset val="134"/>
      </rPr>
      <t>（关总：8月完成整理汇总）</t>
    </r>
    <r>
      <rPr>
        <sz val="11"/>
        <color theme="1"/>
        <rFont val="等线"/>
        <family val="2"/>
        <scheme val="minor"/>
      </rPr>
      <t xml:space="preserve">
2、业务流程管控优化
1）对接南通星辰CRM（正常运行）
2）物流系统微信小程序数据加密同步整改中。
3）中间体事业部运费管理方案评估（组织业务部门本周进行）
4)  集团本部&amp;瑞祥甘油关联交易业务梳理（营销中心提出尽快打通此流程）</t>
    </r>
  </si>
  <si>
    <t>1、整理ERP升级优化需求
2、业务流程管控优化
1)采购供应商升降级OA审批字段完善（需求跟业务详细确认）
2)加密系统预算申请</t>
  </si>
  <si>
    <t xml:space="preserve">1、整理ERP升级优化需求（各系统无形资产折旧统计中）
2、业务流程管控优化
1)采购供应商升降级OA审批字段完善
2)加密系统预算申请；
3）瑞恒库存管理分析数据收集（原料苯）。
</t>
  </si>
  <si>
    <r>
      <t>ERP升级优化：
1）</t>
    </r>
    <r>
      <rPr>
        <sz val="9"/>
        <color rgb="FFFD4147"/>
        <rFont val="微软雅黑"/>
        <family val="2"/>
        <charset val="134"/>
      </rPr>
      <t>梳理升级后的优点。</t>
    </r>
    <r>
      <rPr>
        <sz val="11"/>
        <color theme="1"/>
        <rFont val="等线"/>
        <family val="2"/>
        <scheme val="minor"/>
      </rPr>
      <t xml:space="preserve">
业务流程管控优化：
1)采购供应商升降级OA审批字段完善（进行中）
2)丙烷本周补齐采购端业务数据
</t>
    </r>
  </si>
  <si>
    <r>
      <t>ERP升级优化：
1）现有ERP对接外围系统接口梳理及升级改造费用评估；
2）9月汇报材料准备中（</t>
    </r>
    <r>
      <rPr>
        <sz val="9"/>
        <color rgb="FFFD4147"/>
        <rFont val="微软雅黑"/>
        <family val="2"/>
        <charset val="134"/>
      </rPr>
      <t>本周完成并提交，下周一下午讨论</t>
    </r>
    <r>
      <rPr>
        <sz val="11"/>
        <color theme="1"/>
        <rFont val="等线"/>
        <family val="2"/>
        <scheme val="minor"/>
      </rPr>
      <t>）
业务流程管控优化：
1)采购供应商升降级OA审批字段完善（进行中）</t>
    </r>
  </si>
  <si>
    <t>ERP升级优化：
1）按需领导安排开展；
业务流程管控优化：
1)采购供应商升降级OA审批字段完善（进行中）
2)瑞兆科审批流程迁回扬农评估中</t>
  </si>
  <si>
    <t>ERP升级优化：
1）按需领导安排开展；
业务流程管控优化：
1)采购领导调整OA审批流梳理调整</t>
  </si>
  <si>
    <t>ERP升级优化：
1）按需领导安排开展；
业务流程管控优化：
1)按需完成各项流程调整</t>
  </si>
  <si>
    <r>
      <t>ERP升级优化：
1）</t>
    </r>
    <r>
      <rPr>
        <b/>
        <sz val="9"/>
        <color rgb="FF2F5597"/>
        <rFont val="微软雅黑"/>
        <family val="2"/>
        <charset val="134"/>
      </rPr>
      <t>向颖华总汇报ERP升级方案，更新汇报材料。</t>
    </r>
    <r>
      <rPr>
        <sz val="11"/>
        <color theme="1"/>
        <rFont val="等线"/>
        <family val="2"/>
        <scheme val="minor"/>
      </rPr>
      <t xml:space="preserve">
业务流程管控优化：
1)按需完成各项流程调整</t>
    </r>
  </si>
  <si>
    <r>
      <t>ERP升级优化：
1）配合完成ERP升级项目前期工作</t>
    </r>
    <r>
      <rPr>
        <b/>
        <sz val="9"/>
        <color rgb="FF2F5597"/>
        <rFont val="微软雅黑"/>
        <family val="2"/>
        <charset val="134"/>
      </rPr>
      <t>。</t>
    </r>
    <r>
      <rPr>
        <sz val="11"/>
        <color theme="1"/>
        <rFont val="等线"/>
        <family val="2"/>
        <scheme val="minor"/>
      </rPr>
      <t xml:space="preserve">
业务流程管控优化：
1) 按需完成各项流程调整</t>
    </r>
  </si>
  <si>
    <r>
      <t>ERP升级优化：
1）配合完成ERP升级项目前期工作</t>
    </r>
    <r>
      <rPr>
        <b/>
        <sz val="9"/>
        <color rgb="FF2F5597"/>
        <rFont val="微软雅黑"/>
        <family val="2"/>
        <charset val="134"/>
      </rPr>
      <t>。</t>
    </r>
    <r>
      <rPr>
        <b/>
        <sz val="9"/>
        <color rgb="FFFF0000"/>
        <rFont val="微软雅黑"/>
        <family val="2"/>
        <charset val="134"/>
      </rPr>
      <t>（确定中间体事业部内部立项流程。）</t>
    </r>
    <r>
      <rPr>
        <sz val="11"/>
        <color theme="1"/>
        <rFont val="等线"/>
        <family val="2"/>
        <scheme val="minor"/>
      </rPr>
      <t xml:space="preserve">
业务流程管控优化：
1) 按需完成各项流程调整</t>
    </r>
  </si>
  <si>
    <t>ERP升级优化：
1）配合完成ERP升级项目前期工作。
2）完成上会材料提交。
业务流程管控优化：
1) 按需完成各项流程调整</t>
  </si>
  <si>
    <t>ERP升级优化：
1）配合完成ERP升级项目前期工作。
业务流程管控优化：
1) 按需完成各项流程调整</t>
  </si>
  <si>
    <t>ERP升级优化：
1）重点参加ERP升级业务调研工作（申请未来继续参加ERP升级---中间体SAP供应链业务系统实施工作）。
业务流程管控优化：
1) 按需完成各项流程调整</t>
  </si>
  <si>
    <t>ERP升级优化：
1）周三总经理办公会审议；
2）周四完成事业部立项报告的提交工作
业务流程管控优化：
1) 按需完成各项流程调整</t>
  </si>
  <si>
    <t>ERP升级优化：
1）配合完成ERP升级项目组织架构；
业务流程管控优化：
1) 按需完成各项流程调整</t>
  </si>
  <si>
    <t>ERP升级优化：
1）配合ERP升级项目采购事项；
业务流程管控优化：
1) 按需完成各项流程调整</t>
  </si>
  <si>
    <t>/</t>
  </si>
  <si>
    <t>成果</t>
  </si>
  <si>
    <t>1、收集数字化转型组织人员名单。（完成主要业务域的各部门人员名单）</t>
  </si>
  <si>
    <t>3月20日，召开项目实施启动会。</t>
  </si>
  <si>
    <t>1、开展资料收集工作，流程提供业务流程图、表单、组织架构、规章制度（涵盖计划管理、预算管理、价格控制）
2、更新营销业务问题描述的准确性和优先级</t>
  </si>
  <si>
    <t xml:space="preserve">1、初步分析销售流程，提供的流程过于单一，没有参考性。缺失销售全业务域流程总图。
建议组织业务绘制销售一级、二级流程图，细分业务流程节点。
将之前业务问题对应到流程节点，便于整体分析优化业务。
2、跟踪营销业务CRM需求30项，完成7项功能优化。
3、结合瑞恒dss+  精益管理提升营销总结内容，将营销条线下一步行动建设方案整合进业务流程优化方案中。
</t>
  </si>
  <si>
    <t>1、销售业务流补充及完善梳理，将务问题对应到流程节点。（进行中）
2、供应链中心流程梳理工作沟通（进行中）</t>
  </si>
  <si>
    <t>1、运用既有SAP系统功能，跟财务管理部沟通三目标三清单中的物流费用跟踪和审核问题。关于运费问题目前大量的单据和手工台账难以一一核对，财务核算上更难以匹配到订单、客户，仅做到匹配“产品”类别。</t>
  </si>
  <si>
    <t>1、结合经营计划求解三期需求，将物流费用纳入模型计算、日成本计算。优化结算方案，
2、完成供应商表单和流程收集（SAP-MM,SRM，物流一卡通）；对应问题清单，修正问题清单中业务域待下个月专项分析时进一步方案探讨。</t>
  </si>
  <si>
    <t>1、采购&amp;销售（中间体事业部）运费管理方案确认
2、仓储业务流程梳理、表单收集（进行中）
3、优化供应链11个采购管理流程审批流和节点控制（进行中）</t>
  </si>
  <si>
    <r>
      <t>1、组织工程中心启用OA&amp;SAP工程服务计划流程到订单和付款业务，支持总部基建项目。</t>
    </r>
    <r>
      <rPr>
        <sz val="9"/>
        <color rgb="FF00D09B"/>
        <rFont val="微软雅黑"/>
        <family val="2"/>
      </rPr>
      <t>（SAP新增服务申请审批策略及新增工程工厂，进行中）</t>
    </r>
    <r>
      <rPr>
        <sz val="11"/>
        <color rgb="FF000000"/>
        <rFont val="微软雅黑"/>
        <family val="2"/>
      </rPr>
      <t xml:space="preserve">
2、优化供应链11个采购管理流程审批流和节点控制</t>
    </r>
    <r>
      <rPr>
        <sz val="9"/>
        <color rgb="FF00D09B"/>
        <rFont val="微软雅黑"/>
        <family val="2"/>
      </rPr>
      <t>（本周跟供应链中心确认需求最终版）</t>
    </r>
  </si>
  <si>
    <t>1、完成OA&amp;SAP工程服务计划流程到订单和付款业务流程改造
2、完成优化供应链11个采购管理流程审批流和节点控制调整
3、梳理OA相关领导审批流、SRM招标/非招标流程传OA审批流程接口设计。</t>
  </si>
  <si>
    <t>1、参与经营分析体系建设项目业务调研</t>
  </si>
  <si>
    <t xml:space="preserve">1、参与经营分析体系建设项目业务调研（研讨会）
</t>
  </si>
  <si>
    <t>1、对应指标事项，梳理优先的业务流程清单（进行中）
2、初步确定6月份优先处理运费及储运管理的业务功能优化流程</t>
  </si>
  <si>
    <t>1、对应指标事项，梳理优先的业务流程清单（进行中）</t>
  </si>
  <si>
    <t>1、对应指标事项，梳理优先的业务流程清单（进行中）
2、物流流程优化（完成营销中心对接CRM需求调研、易制毒管控需求、微信小程序用户信息收集条款整改等）</t>
  </si>
  <si>
    <t xml:space="preserve">1、对应指标事项，梳理优先的业务流程清单（进行中）
2、物流流程管控优化开发调整（对接南通星辰CRM（完成接口确认）；系统自身功能优化，如易制毒管控、客户线上签收、现场批控仪对接发货（完成上线）、船运等）；
</t>
  </si>
  <si>
    <t>1、整理ERP升级优化需求（进行中）
2、业务流程管控优化
1)对接南通星辰CRM（接口测试进行中）
2)物流系统自身优化新增车辆VIP权限（由于功能部署上线后有BUG，影响了其他功能，本周排查原因，重新验证测试）；现场批控仪对接发货（试运行转正常运行）；完成物流对接中间体CRM接口需求确认。
3)初步设想进行瑞恒业务梳理（OA审批端优化）</t>
  </si>
  <si>
    <t>1、整理ERP升级优化需求（进行中）
2、业务流程管控优化
1)对接南通星辰CRM（完成2个接口测试）
2)物流系统自身优化新增车辆VIP权限（重新验证测试）；物流一卡通对接中间体CRM方案整理给至赵俊总团队评估设计。
3)瑞恒高层OA审批流调研（了解个别领导OA审批需求）</t>
  </si>
  <si>
    <t>1、整理ERP升级优化需求（进行中）
2、业务流程管控优化
1)对接南通星辰CRM（完成测试）
2)物流系统自身优化新增车辆VIP权限（重新上线）；物流一卡通对接中间体CRM方案修正；
3)组织中间体运费管理调研；
3)完成瑞恒部分高层领导OA审批节点梳理并给出意见待确认；</t>
  </si>
  <si>
    <t>1、整理ERP升级优化需求
2、业务流程管控优化
1)对接南通星辰CRM（新增车辆和司机基础主数据接口方案待确认）
2)物流系统微信小程序用户隐私信息登陆界面功能开发（进行中）；
3)瑞恒高层OA审批流梳理（完成部分审批节点方案给至领导确认，等领导回复后将调整建议给至流程归口部门确认）</t>
  </si>
  <si>
    <t>1、整理ERP升级优化需求
2、业务流程管控优化
1）对接南通星辰CRM（实际业务数据试运行，修改部分接口）
2）物流系统微信小程序用户隐私信息登陆界面功能开发（月底放出初版运行）；数据加密同步（进行中）。
3）瑞恒高层OA审批流梳理（初步确定）
4）中间体事业部运费管理方案讨论（计划下周评估）</t>
  </si>
  <si>
    <t>1、整理ERP升级优化需求（汇总中）
2、业务流程管控优化
1）对接南通星辰CRM（现场支持环氧TMS上线，部分字段调整）
2）物流系统微信小程序用户隐私信息登陆界面功能开发（已完成）；数据加密同步整改中。
3）完成瑞泰总经理审批流梳理，提交给瑞泰综合办。
4）中间体事业部运费管理方案评估</t>
  </si>
  <si>
    <t>上周由于个人家中有事，部分工作本周继续开展：
1、整理ERP升级优化需求
2、业务流程管控优化
1）对接南通星辰CRM（运行支持）
2）物流系统微信小程序数据加密同步（进行中）。
3）中间体事业部运费管理方案评估（部门领导出差，本周进行评估）
4)  集团本部&amp;瑞祥甘油关联交易业务梳理，并完成ERP系统配置及相关用户权限开通（已完成）</t>
  </si>
  <si>
    <t>1、整理ERP升级优化需求（完成80%，各系统无形资产折旧统计中）
2、业务流程管控优化
1)采购供应商升降级OA审批字段完善（已组建团队安排到各系统管理员对接中）
2)加密系统预算申请（进行中）
3)采购招标/非招标流程调整（已完成）；
4）瑞恒库存管理分析数据收集（丙烷）。</t>
  </si>
  <si>
    <t xml:space="preserve">1、完成ERP升级优化需求清单整理并邮件发送给各领导（含各系统无形资产截止到7月底折旧统计）
2、业务流程管控优化
1)采购供应商升降级OA审批字段完善（进行中）
2)完成瑞恒库存管理分析数据收集（丙烷本周补齐采购端业务数据）。
</t>
  </si>
  <si>
    <t>ERP升级优化：
1）现有ERP对接外围系统接口梳理及升级改造费用评估；
2）9月汇报材料准备中
业务流程管控优化：
1)采购供应商升降级OA审批字段完善（进行中）
2)完成丙烷本周补齐采购端业务数据</t>
  </si>
  <si>
    <t>ERP升级优化：
1）完成现有ERP对接外围系统接口梳理及升级改造费用评估；
2）完成ERP升级汇报材料初稿
业务流程管控优化：
1)采购供应商升降级OA审批字段完善（进行中）
2)瑞兆科审批流程迁回扬农评估中</t>
  </si>
  <si>
    <t>ERP升级优化：
1）按需配合领导安排的各种工作；
业务流程管控优化：
1)采购供应商升降级OA审批字段完善（开发中）
2)瑞兆科审批流程迁回扬农（需求已确定提交8366处理）</t>
  </si>
  <si>
    <t>ERP升级优化：
1）按需领导安排开展；
业务流程管控优化：
1)采购领导调整OA审批流梳理调整（已完成）</t>
  </si>
  <si>
    <r>
      <t>ERP升级优化：
1）完成</t>
    </r>
    <r>
      <rPr>
        <b/>
        <sz val="9"/>
        <color rgb="FF2F5597"/>
        <rFont val="微软雅黑"/>
        <family val="2"/>
        <charset val="134"/>
      </rPr>
      <t>向颖华总汇报ERP升级方案，更新汇报材料。</t>
    </r>
    <r>
      <rPr>
        <sz val="11"/>
        <color theme="1"/>
        <rFont val="等线"/>
        <family val="2"/>
        <scheme val="minor"/>
      </rPr>
      <t xml:space="preserve">
业务流程管控优化：
1)按需完成各项流程调整</t>
    </r>
  </si>
  <si>
    <r>
      <t>ERP升级优化：
1）配合完成ERP升级项目前期工作</t>
    </r>
    <r>
      <rPr>
        <b/>
        <sz val="9"/>
        <color rgb="FF2F5597"/>
        <rFont val="微软雅黑"/>
        <family val="2"/>
        <charset val="134"/>
      </rPr>
      <t>。</t>
    </r>
    <r>
      <rPr>
        <b/>
        <sz val="9"/>
        <color rgb="FFFF0000"/>
        <rFont val="微软雅黑"/>
        <family val="2"/>
        <charset val="134"/>
      </rPr>
      <t>（中间体立项流程走不通，无信息化项目立项流程。目前沟通下来只有经固类（不包含IT类）、工程技改类、投资类项目立项流程，还请领导间协调）</t>
    </r>
    <r>
      <rPr>
        <sz val="11"/>
        <color theme="1"/>
        <rFont val="等线"/>
        <family val="2"/>
        <scheme val="minor"/>
      </rPr>
      <t xml:space="preserve">
业务流程管控优化：
1) 按需完成各项流程调整</t>
    </r>
  </si>
  <si>
    <r>
      <t>ERP升级优化：
1）配合完成ERP升级项目前期工作</t>
    </r>
    <r>
      <rPr>
        <b/>
        <sz val="9"/>
        <color rgb="FF2F5597"/>
        <rFont val="微软雅黑"/>
        <family val="2"/>
        <charset val="134"/>
      </rPr>
      <t>。</t>
    </r>
    <r>
      <rPr>
        <b/>
        <sz val="9"/>
        <color rgb="FFFF0000"/>
        <rFont val="微软雅黑"/>
        <family val="2"/>
        <charset val="134"/>
      </rPr>
      <t>（确定走事业部立项流程，事先在中间体经办会上汇报）</t>
    </r>
    <r>
      <rPr>
        <sz val="11"/>
        <color theme="1"/>
        <rFont val="等线"/>
        <family val="2"/>
        <scheme val="minor"/>
      </rPr>
      <t xml:space="preserve">
业务流程管控优化：
1) 按需完成各项流程调整</t>
    </r>
  </si>
  <si>
    <r>
      <t>ERP升级优化：
1）配合完成ERP升级项目前期工作。</t>
    </r>
    <r>
      <rPr>
        <sz val="9"/>
        <color rgb="FFFF0000"/>
        <rFont val="微软雅黑"/>
        <family val="2"/>
        <charset val="134"/>
      </rPr>
      <t>（ERP升级方案相关材料已提交永盛总）</t>
    </r>
    <r>
      <rPr>
        <sz val="11"/>
        <color theme="1"/>
        <rFont val="等线"/>
        <family val="2"/>
        <scheme val="minor"/>
      </rPr>
      <t xml:space="preserve">
业务流程管控优化：
1) 按需完成各项流程调整</t>
    </r>
  </si>
  <si>
    <t>ERP升级优化：
1）参加ERP升级项目团队来中间体进行的业务调研工作（参与项目组织架构制定和推进立项进展；中间体经办会确定在下周三上午召开）。
业务流程管控优化：
1) 按需完成各项流程调整</t>
  </si>
  <si>
    <t>ERP升级优化：
1）完成上周三总经理办公会ERP升级汇报材料提交；
2）完成事业部立项报告的提交工作，目前进度庞总已审批完成，还需批分及学工总审批。
业务流程管控优化：
1) 按需完成各项流程调整</t>
  </si>
  <si>
    <r>
      <rPr>
        <b/>
        <sz val="9"/>
        <color rgb="FF000000"/>
        <rFont val="微软雅黑"/>
        <family val="2"/>
        <charset val="134"/>
      </rPr>
      <t>1.瑞祥实施：</t>
    </r>
    <r>
      <rPr>
        <sz val="11"/>
        <color theme="1"/>
        <rFont val="等线"/>
        <family val="2"/>
        <scheme val="minor"/>
      </rPr>
      <t xml:space="preserve">
1.1.基础设置整改：目前</t>
    </r>
    <r>
      <rPr>
        <sz val="9"/>
        <color rgb="FFFD4147"/>
        <rFont val="微软雅黑"/>
        <family val="2"/>
        <charset val="134"/>
      </rPr>
      <t>与HSE连接PHD采集相关改造暂停</t>
    </r>
    <r>
      <rPr>
        <sz val="11"/>
        <color theme="1"/>
        <rFont val="等线"/>
        <family val="2"/>
        <scheme val="minor"/>
      </rPr>
      <t>；
1.2.试运行：累计提出147个问题，累计修复141个问题，剩余6个问题，本周新增3个问题，本周修复20个问题；持续改善模块的T会使用情况部分车间工段</t>
    </r>
    <r>
      <rPr>
        <sz val="9"/>
        <color rgb="FFFD4147"/>
        <rFont val="微软雅黑"/>
        <family val="2"/>
        <charset val="134"/>
      </rPr>
      <t>未按计划执行</t>
    </r>
    <r>
      <rPr>
        <sz val="11"/>
        <color theme="1"/>
        <rFont val="等线"/>
        <family val="2"/>
        <scheme val="minor"/>
      </rPr>
      <t xml:space="preserve">；
1.3.HSE集成：正在合同合规审核流程；
</t>
    </r>
    <r>
      <rPr>
        <b/>
        <sz val="9"/>
        <color rgb="FF000000"/>
        <rFont val="微软雅黑"/>
        <family val="2"/>
        <charset val="134"/>
      </rPr>
      <t>2.瑞泰实施：</t>
    </r>
    <r>
      <rPr>
        <sz val="11"/>
        <color theme="1"/>
        <rFont val="等线"/>
        <family val="2"/>
        <scheme val="minor"/>
      </rPr>
      <t xml:space="preserve">
2.1.试运行：累计提出137个问题，累计修复121个问题，剩余8个问题，本周新增0个问题，本周修复7个问题；
2.2.WMS集成：存销日报表数据从WMS抽取，接口开发进行中；
2.3HSE集成：正在进行接口开发；
</t>
    </r>
    <r>
      <rPr>
        <b/>
        <sz val="9"/>
        <color rgb="FF000000"/>
        <rFont val="微软雅黑"/>
        <family val="2"/>
        <charset val="134"/>
      </rPr>
      <t>3.WMS/SAP集成（三家工厂）：在生产入库接口中针对“产品入库”类型，由于联产品 WMS缺少预留行号需要增加，导致MES也需同步更新3个基地；计划本周到瑞恒进行测试；</t>
    </r>
  </si>
  <si>
    <t>1、用户审核反馈需求说明书修订意见
2、对比各家单位提交的技术方案要点。
3、条线内部讨论调研情况。
4、发出可研报告。</t>
  </si>
  <si>
    <t>25年优化：
产业链优化及供应商分类优化功能设计调整以及确认；
其它现场沟通新优化处理：专家抽取逻辑优化、添加剂优化需求处理等；
25年优化上线支持；
租户合并：
UAT验证。
验证问题解决。</t>
  </si>
  <si>
    <t>25年优化：
产业链优化以及供应商分类优化功能开发清单确认以及工作量沟通；
25年优化增补工作量沟通确认；
添加剂问题以及优化需求沟通处理；
租户合并：
完成测试环境数据问题验证。
完成测试环境脚本测试。
完成测试环境接口联调测试。
输出用户测试脚本、测试数据。
对系统部分场景做性能调优。</t>
  </si>
  <si>
    <t xml:space="preserve">
   二期个性化（国际部分)
1.薪酬审批功能协助用户运行支持与保障
2.薪酬测算功能协助用户运行支持，按组织逐个初始化固薪月数、奖金占比及相应测算验证</t>
  </si>
  <si>
    <t xml:space="preserve">   二期个性化推进（国际部分)
   1）薪酬审批功能
       协助用户发起审批单并验证数据
   2）薪资测算（目标年薪、目标奖金、十三薪）
        a) 逐个公司分步初始化定调薪档案中固薪月数及奖金占比，本周中化科技与科创中心测算验证，初步验证测算数据正确。存在的问题：定调薪档案的基础数据比较混乱，需要进一步梳理
        b）保障系统功能正常运行</t>
  </si>
  <si>
    <t>日常运维</t>
  </si>
  <si>
    <t>1. 完成桌面系统运维工单49个，处理打印机问题8个，硬件问题7个，软件问题18个，网络问题6个，账号问题10个。
2.公共电脑二轮统计</t>
  </si>
  <si>
    <t>1. 完成桌面系统运维工单21个，处理打印机问题2个，硬件问题3个，软件问题8个，网络问题6个，账号问题2个。</t>
  </si>
  <si>
    <t>1.继续跟进视频监控扩容方案的采购进度
2.移动布控球的压缩测试及防爆执法记录仪的替代方案测试</t>
  </si>
  <si>
    <t>日常保障</t>
  </si>
  <si>
    <t>日常保障，同时收集属地员工对机器人的建议和问题的收集</t>
  </si>
  <si>
    <t>1.IT相关管理制度完善及讨论
2.IT资产统计完善</t>
  </si>
  <si>
    <t xml:space="preserve">1.配合公司纪检部回收公共电脑；项目部2台，创新部1台，财务部4台，综合管理部2台，安全部2台
2.完成瑞恒公司it实物资产，机房，档案，共享文件等管理细则的初版编写
</t>
  </si>
  <si>
    <t>暂停跟踪</t>
  </si>
  <si>
    <t>1、迁移到一体化平台
1）部署到生产环境；
2）检查权限配置，安排用户试用；</t>
  </si>
  <si>
    <t>1、迁移到一体化平台
1）部署测试环境；
2）针对迁移后的功能、界面，内部测试与完善；</t>
  </si>
  <si>
    <t>1.根据采购要求，对采购成本进行压缩，测试海康smart265功能能否正常压缩视频流且不影响数据传输
2.各部门需采购移动布控球，目前正在收集各部门采购需求，同时在测试防爆执法记录仪的替代方案是否可行</t>
  </si>
  <si>
    <t>2025年CRM项目进展：
1.圣奥CRM上线支持
2.瑞恒TMS系统上线支持
3.中化高纤上线支持
4.中化河北二期上线支持
5.锦湖TMS项目功能接口功能开发及测试
6.中间体TMS 合同签署
7.特材事业部CRM临时方案审批流程收集及调整
8.工塑CRM三期优化功能上线准备</t>
  </si>
  <si>
    <t>2025年CRM项目进展：
1.圣奥CRM上线支持
2.瑞恒TMS系统上线支持
3.中化高纤上线支持
4.中化河北二期上线试运行，上线支持
6.锦湖TMS销售业务的物流调度及运费功能已完成用户UAT测试及用户培训。调度单及自提采购订单业务与SAP集成开发中
7.工塑CRM三期优化项目功能全部完成用户UAT测试，12月31号切换上线。
8.中间体TMS项目合同签署中
9.特材事业部销售业务沟通，CRM完成方案评估及报价。临时方案已沟通确认，审批流程收集中
10.吴在华已完成CRM ai 立项材料初稿</t>
  </si>
  <si>
    <t>1、问题支持和解决；2、年结准备</t>
  </si>
  <si>
    <t>1、上线支持和问题解决；
2、数量单位吨已经完成改造；
3、进销存报表和成本报表带用户测试确认中</t>
  </si>
  <si>
    <t>1、配合集团调研方案和计划开展调研
2、补齐调研报告</t>
  </si>
  <si>
    <t>1.瑞祥瑞泰上线试运行，问题跟踪和修复；
2.瑞泰存销数据WMS取数；
3.三家工厂的报工集成WMS/SAP调试；
4.瑞祥瑞泰与HSE的集成调试；</t>
  </si>
  <si>
    <t>1.OA和工单系统评估可行性和工作量；
2.霍尼编制运维外包方案；</t>
  </si>
  <si>
    <t>1.完成梳理组织角色人员矩阵、流程节点逻辑、界面字段信息来源及逻辑，已经提交给王翀和钟巍评估可行性和工作量，目前正在评估；
2.霍尼初步方案已经编制完成，正在内部初审；</t>
  </si>
  <si>
    <t>/</t>
  </si>
  <si>
    <t>1.收集优化需求；梳理优化需求;
2.组织需求讨论和可研分析；</t>
  </si>
  <si>
    <r>
      <t xml:space="preserve">1.瑞祥实施：
1.1.基础设置整改：目前与HSE连接PHD采集相关改造暂停；
1.2.试运行：累计提出149个问题，累计修复147个问题，剩余2个问题，本周新增2个问题，本周修复6个问题；持续改善模块的T会使用情况好转，完成对剩余未完成实现的梳理和计划安排；
1.3.HSE集成：正在合同合规审核流程；
2.瑞泰实施：
2.1.试运行：累计提出137个问题，累计修复124个问题，剩余5个问题，本周新增0个问题，本周修复3个问题；连续2周无新增问题；
2.2.WMS集成：存销日报表数据从WMS抽取，WMS接口开发进行中；
2.3HSE集成：正在进行接口开发；
3.WMS/SAP集成（三家工厂）：完成瑞恒报工测试，测试结果通过，待生产运营部选择上线切换时间，MES中完善审批流的功能；
</t>
    </r>
    <r>
      <rPr>
        <sz val="9"/>
        <color rgb="FFFF0000"/>
        <rFont val="微软雅黑"/>
        <family val="2"/>
        <charset val="134"/>
      </rPr>
      <t>4.中间体三家工厂均提出需要在外网环境下使用MES的审批功能，此前瑞祥提出该需求，但5G情况不明，用户领导仍然向项目组提出该需求，请顾总协助宣贯或寻找解决方案。</t>
    </r>
  </si>
  <si>
    <t>1、整体项目，验收签字，进入正常运维阶段。</t>
  </si>
  <si>
    <t>配合集团调研方案和计划开展调研，已完成12/18。高纤、滏鼎、南通、淮化、成都、瑞泰</t>
  </si>
  <si>
    <t>1、瑞泰WMS存销数据传MES接口提前对接事项（目前WMS开发已完成，进入测试阶段）
2、报工流程除领料和冲销流程未测之外，其他相关功能内测已完成（用户测试进行中）
3、增补项目目前进行了第一轮商务谈判，人天数金额压降3.5万元</t>
  </si>
  <si>
    <t>1、化工事业部EAM信创项目，方案调整，立项报告重新修改完成</t>
  </si>
  <si>
    <t>1、化工事业部EAM信创立项流程审批中，目前在周总和高总那里审批，供应商给出了实施方案，预计1月份开始实施，4月份完成。</t>
  </si>
  <si>
    <t>1）25年优化：
产业链优化及供应商分类优化功能设计以及总体计划确认；
供应商产业链优化开始开发；
其它现场沟通新优化测试完成：专家抽取逻辑优化、添加剂优化需求处理以及发票结算优化等；
SRM上周工作情况汇报如下：
整体进度正常推进。
2）租户合并：
UAT测试流程验证。
UAT问题解决。
上线事宜确认。</t>
  </si>
  <si>
    <t>1）25年优化：
产业链优化及供应商分类优化功能设计调整以及确认；
其它现场沟通新优化处理：专家抽取逻辑优化、添加剂优化需求处理、发票结算优化开发完成，测试中；
25年优化上线支持转运维；
2）租户合并：
外部系统集成流程验证。
UAT测试流程验证。
UAT问题解决。</t>
  </si>
  <si>
    <t>1、环氧/河北/中间体试运行上线遗留问题处理
2、日成本效益推广（南通星辰、河北鑫宝）：
1）跟进MES投入产出数据完善，配合用户测试与数据验证
2）月度填报表培训用户使用
3、日成本效益模型推广（瑞祥、瑞泰）：
1）瑞泰MES工艺数据梳理，疑难问题沟通
2）收集财务预估数据，搭建瑞祥模型，内部测试
4、日成本效益模型推广（添加剂）：
1）梳理圣奥MES数据需求，检查现有数据，补充取数对接
5、毛利因素分析模型：
1）IT内测及问题调整
6、TMS取数</t>
  </si>
  <si>
    <t>1、中化高纤：本周与研发产品管理项目组持续测试。
2、工塑：本周与PIMP项目组持续测试。</t>
  </si>
  <si>
    <t>配合集团调研方案和计划开展调研，已完成17/18。剩余滏鼎未提交。</t>
  </si>
  <si>
    <t>1、中化高纤：本周与研发产品管理项目组持续测试。
2、工塑：本周与PIMP项目组持续测试。</t>
  </si>
  <si>
    <t>1.鑫宝：优化需求已经收集；
2.瑞泰：暂无需求，贺总也未正式反馈需求；
3.瑞恒：需求较多，新增了部分生产运营部优化需求；
4.瑞祥：优化需求已经收集，集中在绿色工厂审核的能碳管理方面；
4.圣奥：暂无需求；
需求清单在线文档：https://docs.qq.com/sheet/DWHpEQUxUb0RITmZ2?tab=000001</t>
  </si>
  <si>
    <t>1、针对调研情况进行内部讨论与报告；
2、更新需求说明书、立项报告与监测设备范围。</t>
  </si>
  <si>
    <t>1、完成和用户的沟通，进行需求说明书的修改；
2、完成各家供应商的技术与商务对比情况；
3、完成可研报告的编写；</t>
  </si>
  <si>
    <t xml:space="preserve">
1、圣奥AI规章制度测试中，暂无问题，本周开会讨论上线计划
2、连云港消防待讨论</t>
  </si>
  <si>
    <t>标准化桌面推广</t>
  </si>
  <si>
    <t>陈圣</t>
  </si>
  <si>
    <t>02-正常进行</t>
  </si>
  <si>
    <t>01-准备/可研</t>
  </si>
  <si>
    <t>工单系统包含标准化运维服务</t>
  </si>
  <si>
    <t>计划</t>
  </si>
  <si>
    <t>1、完成标准化工作的立项审批 (兰海) 
2、继续修改扬农无线网络覆盖点位的方案
3、桌面标准化总计完成56台设备，本周继续实施</t>
  </si>
  <si>
    <t>1、完成标准化工作的立项审批  
2、继续修改扬农无线网络覆盖点位的方案
3、桌面标准化总计完成76台设备，本周继续实施</t>
  </si>
  <si>
    <t>1、结合实际情况重构桌面标准化工作计划
2、中间体骨干网络改造和无线网络覆盖点位方案确定，准备签署合同。
3、桌面标准化本周继续实施，总结目前总部存在的问题。</t>
  </si>
  <si>
    <t>1、梳理瑞恒现有办公电脑和IT资产信息，形成办公电脑资产台账
2、安排网络工程师对现场网络设备进行梳理，形成网络设备台账
3、根据现场IT资产梳理情况配置运维堡垒机
4、安排总部桌面工程师前往现场提供桌面标准化实施培训和支持</t>
  </si>
  <si>
    <t>1、委托采购中心完成桌面标准化项目的采购评比
2、协助本地IT团队完成固定资产台账梳理
3、完成网络切换方案与用户沟通切换具体时间</t>
  </si>
  <si>
    <t>1、整理出办公电脑台账
2、与各部门沟通，确认实施时间，安排实施初步计划
3、开展桌面标准化测试工作</t>
  </si>
  <si>
    <t>1、整理出办公电脑台账
2、与各部门沟通，确认实施时间，安排实施初步计划</t>
  </si>
  <si>
    <t>1、与现场团队沟通完成桌面标准化现场实施的采购和服务管理方案
2、督促各单位尽快完成资产梳理，并制定瑞祥、瑞恒的桌面标准化工作计划
3、草拟桌面标准化推进的公司发文，便于现场推进相关工作
4、完成瑞恒网络切换，并完成中化国际连云港5G合同签署流程，并组织分摊</t>
  </si>
  <si>
    <t>1、现沟通由连云港运维组牵头于下周一（2月24日）开始对瑞恒的办公终端进行资产清点并汇集成适用瑞恒资产台账，因瑞恒各部门较为分散，终端数量较多，此项工作预计一周内完成
2、5G专网访问的内网应用已确认，预计本周完成运营商局端网络策略设置，2月24日下周一交付5G专网卡</t>
  </si>
  <si>
    <t>开始现场实施
1、开展电脑资产台账梳理工作，输出IT资产台账
2、根据标签规范，黏贴资产标签</t>
  </si>
  <si>
    <t>1、开展对生产运营部、设备维保部、纪检部、职业与健康部、综合部、党群部、的电脑标准化工作，同步进行电脑资产台账梳理工作，输出IT资产台账
2、根据标签规范，对生产运营部、设备维保部、打印黏贴资产标签</t>
  </si>
  <si>
    <t>1、与扬农集团和南通星辰沟通，由本地开展采购寻源，寻找本地供应商继续开展桌面标准化工作</t>
  </si>
  <si>
    <t>1、与瑞泰和瑞恒沟通本地采购寻源工作，并制定采购计划</t>
  </si>
  <si>
    <t>1、南通和扬农持续开展招采流程</t>
  </si>
  <si>
    <t>招采流程正常进行中</t>
  </si>
  <si>
    <t>1、南通星辰计划于下周完成寻源，并发起结果审批
2、扬农集团计划下周与中化信息签署合同</t>
  </si>
  <si>
    <t>1、南通星辰本周完成寻源
2、扬农内部开会确认标准化合同内容</t>
  </si>
  <si>
    <t>1.南通星辰完成寻源,计划本月底完成桌面标准化和集权系统清理工作.
2.扬农集团和各单位就桌面标准化项目的采购方案进行沟通,暂时未达成一致,主要是各单位对目前存量电脑数量存在不确定性.</t>
  </si>
  <si>
    <t>1.寻源已完成，合同签订中，预计本周合同结束，进厂进行任务计划排布。总共约450台，计划每天至少完成10台
2.于扬农集团领导沟通合同签署问题</t>
  </si>
  <si>
    <t>完成南通和扬农桌面标准化合同签署</t>
  </si>
  <si>
    <t>南通星辰开始实施
扬农正在合同流程中</t>
  </si>
  <si>
    <t>南通星辰继续实施
扬农：本周与4家单位负责人开会确认实施计划和工作安排</t>
  </si>
  <si>
    <t>持续实施中</t>
  </si>
  <si>
    <t>持续实施中，预计每人每天可实施5台电脑，预计8月份完成整体实施</t>
  </si>
  <si>
    <t>下周继续实施，整体计划不变，南通星辰7月底完成，扬农8月底完成</t>
  </si>
  <si>
    <t>继续实施中，整体计划不变，南通星辰7月底完成，扬农8月底完成</t>
  </si>
  <si>
    <t>1、南通星辰：对剩余请休假、出差的用户电脑进行陆续补充实施
2、扬农按原计划继续实施</t>
  </si>
  <si>
    <t>1、南通星辰开始归零扫尾工作
2、扬农继续实施</t>
  </si>
  <si>
    <t>1、南通星辰和扬农集团开始归零扫尾工作</t>
  </si>
  <si>
    <t>1、开始做文件服务器迁移的准备工作</t>
  </si>
  <si>
    <t>2024/8</t>
  </si>
  <si>
    <t>2024/7</t>
  </si>
  <si>
    <t>2025/10</t>
  </si>
  <si>
    <t>成果</t>
  </si>
  <si>
    <t>1、完成标准化工作的立项审批 (学工总)
2、继续修改扬农无线网络覆盖点位的方案，本周暂无更新
3、桌面标准化，目前已完成76台设备，下周继续实施</t>
  </si>
  <si>
    <t>1、完成标准化工作的立项审批 (完成）
2、继续修改扬农无线网络覆盖点位的方案
3、桌面标准化总计完成84台设备，本周继续实施</t>
  </si>
  <si>
    <t>1、与中间体事业部IT线条相关领导开展扬农瑞恒桌面标准化实施沟通会并确认了实施初步方案
2、中间体骨干网络改造和无线网络覆盖点位方案确定，准备签署合同</t>
  </si>
  <si>
    <t>上述工作准备中，待1月份开展</t>
  </si>
  <si>
    <t>1、已梳理出网络设备台账
2、固定资产台账暂未梳理、待本地IT人员梳理
3、桌面终端采购评比工作启动</t>
  </si>
  <si>
    <t xml:space="preserve">1、与瑞恒IT负责人于扬农总部开展桌面标准化交流会议，并交接了装机工作、SOP操作手册和实施记录表
2、梳理了前期准备工作，包括桌面标准化测试和制定实施方案的细节交流
3、办公电脑台账继续准备中
</t>
  </si>
  <si>
    <t>1、办公电脑台账持续整理中
2、继续与各部门沟通，确认实施时间，安排实施初步计划
3、扬农集团桌面标准化项目
本项目将为扬农集团总部、瑞恒、瑞祥及瑞泰实施桌面标准化，为所有电脑终端做域控切换，同时部署天擎、联软桌管及IPG加密系统，确保公司的终端统一化、标准化，提升桌面安全管控能力。
目前项目已实施3个月，共计安装更新96台设备，总体进度6.9%。
以下是各单位实施情况：
扬农总部：96/314，进度32.8%
江苏瑞恒：实施电脑收集中
江苏瑞祥：实施电脑收集中
宁夏瑞泰：实施电脑收集中
项目问题
1. 项目总体进度缓慢，缺少宣贯和推进力度；
2. 用户方面：对于域控切换和安装管控软件持抵触心理，配合度不够；
3. 实施方面：当地IT工作量较大，无法将重心落在标准化工作上；
4. 管理方面：项目团队内部信息沟通不足，问题的反馈和升级不到位。
下一步计划
1. 根据现状重新梳理实施计划；
2. 对下属单位进行项目的宣贯；
3. 安排和准备备份进行赶工。</t>
  </si>
  <si>
    <t>1、本周无实质进展，与现场沟团队沟通桌面标准化支持团队的采购和管理方案
2、梳理各单位电脑资产，由当地实施团队负责制定桌面标准化工作计划</t>
  </si>
  <si>
    <t>1、前期调研工作已于2月12日完成，对多个办公点共计抽查31台电脑，绝大多数办公终端满足化工事业部标准镜像安装要求
2、关于资产台账统计：此项工作原先由瑞恒数字化部完成，但截止本周还未完成
3、已完成5G专网卡数量需求梳理，共计277张，专网卡套餐已确认，使用多卡共享统一流量池方案。</t>
  </si>
  <si>
    <t>以化工事业部数字化中心IT资产管理为基准，对瑞恒开展IT资产管理：  
1、资产发放清单标准化：实现硬件序列号/软件许可证全生命周期登记，建立电子台账与实物匹配机制  
2、资产标签实施规范：采用统一编码规则（位置编码+资产类别标识），制定物理张贴标准
3、IT资产领用表单已确认：
4、已确认装机方案并生产SOP文档</t>
  </si>
  <si>
    <t xml:space="preserve">以化工事业部数字化中心IT资产管理为基准，对瑞恒开展IT资产管理：  
1、资产发放清单标准化：实现硬件序列号/软件许可证全生命周期登记，建立电子台账与实物匹配机制（本周已完成28台）  
2、资产标签实施规范：采用统一编码规则（位置编码+资产类别标识），制定物理张贴标准（本周已完成28台）
3、IT资产领用表单已确认：（本周已完成28台）
</t>
  </si>
  <si>
    <t>1，瑞恒办公电脑标准化工作自2月24日启动。终端标准化工作已累积进行8天，本周共计完成54台。总计已完成102台。
2，已完成瑞恒办公网复用消控中心DHCP分发IP地址。
3，IT资产盘点：已完成102台办公终端资产盘点，并重新签订资产领用约人清单。
4，已摸排总办公终端数量约1200台，需标准化终端数量约1000台。</t>
  </si>
  <si>
    <t>1、本地IT制定了采购寻源和实施计划：南通星辰计划于本周五前开始寻源，月底前合同签订完成，下月初开始启动桌面标准化实施工作；扬农集团总部和瑞祥计划于下周五前开始寻源和采购，预计时间为2周；瑞泰和瑞恒正在协调沟通中，下周给出工作计划</t>
  </si>
  <si>
    <t>1、扬农桌面标准化由扬农总部统一发起招采流程，商务流程预计2-3周，正式实施预计4月中旬开始
2、南通星辰本周已经发起寻源，预计下周可以出结果，商务合同流程预计4月初完成，4月中旬开始实施</t>
  </si>
  <si>
    <t>1、扬农的招采流程暂停，南通星辰正常开展</t>
  </si>
  <si>
    <t>1、南通星辰已完成寻源申请流程审批，本周寻源完成
2、扬农集团的合同将与中化信息签署，中化信息正在起草合同</t>
  </si>
  <si>
    <t>1、南通星辰上周在割接全厂网络，未完成寻源，延后一周，本周完成
2、扬农需要内部开会确认标注化合同，预计下周五确认合同</t>
  </si>
  <si>
    <t>1.南通星辰完成寻源,启动合同签署流程
2.马天明总出面协调扬农各单位桌面标准化费用承担问题,并计划于永盛总汇报</t>
  </si>
  <si>
    <t>南通星辰在本月完成商务采购评比工作，预计与5月中旬完成商务合同签署；扬农集团在本月确认了合同内容和下属各单位的付款形式，合同还需要内部法务部门确认，预计5月完成合同签署</t>
  </si>
  <si>
    <t>南通星辰桌面标准化合同已签署，同时已明确工作计划，整体实施工期为35个工作日，预计7月份完成实施
扬农的桌面桌面标准化合同已可以签署，流程中</t>
  </si>
  <si>
    <t>南通星辰已经开始实施（第一周）
扬农已完成合同双签，计划6月3日开始实施</t>
  </si>
  <si>
    <t>正在实施中，南通星辰预计7月完成，扬农预计8月完成</t>
  </si>
  <si>
    <t>实施中</t>
  </si>
  <si>
    <t>1、南通星辰截止本周已完成84台、450总台数
2、扬农截止本周已完成112台、1070（总数）</t>
  </si>
  <si>
    <t>1、南通星辰本周总计实施26台，总计完成110台，目前实施中没有遇到问题
2、扬农集团本周总计实施103台，总计完成215台，目前实施中没有遇到问题</t>
  </si>
  <si>
    <t>1、南通星辰截止本周共完成130台，现场根据实施情况补充了一些常用软件，并更新了系统镜像，所以本周进度略微放缓
2、扬农集团截止本周总共完成365台（本周完成150台），瑞祥进度偏慢，下周会在瑞祥增派一名工程师增加实施速度，其余几个地方照目前进度可以同时完成，计划在8月份完成整体实施</t>
  </si>
  <si>
    <t>1、南通星辰截止本周完成250台，完成率65%
2、扬农截止本周完成708台，完成率61%</t>
  </si>
  <si>
    <t>1、南通星辰截止本周完成292台，完成率75%，本周将完成集中性部署阶段的剩余电脑。剩余部分电脑（出差、请休假、有事）将在下周陆续完成。
2、扬农截止本周完成823台，完成率74%，无异常问题，按原计划实施。</t>
  </si>
  <si>
    <t>1、南通星辰：上周由于供应商人员请假问题，只实施了15台，总计完成了307台，计划本周完成整体集中式实施；剩余一些出差、请假的人员电脑（约10%）计划在下周开始陆续实施
2、扬农截止本周总计完成了857台，完成率76.5%，暂无进度偏差，预计月底实施完成</t>
  </si>
  <si>
    <t>1、南通星辰：集中性实施已完成，截止上周总计已完成350台电脑的标准化实施，本周开始归零扫尾工作
2、扬农集团：截止上周已完成924台电脑的标准化实施，完成率90%，整体实施计划不变，月底完成集中性实施</t>
  </si>
  <si>
    <t>1、南通信创：上周开始归零扫尾工作，实施了8台电脑，本周继续，扫尾工作大约需要2-3周
2、扬农集团：截止上周集中式实施已完成，共计完成电脑1033台。计划本周与扬农各地IT人员开会，讨论剩余电脑，扫尾工作计划</t>
  </si>
  <si>
    <t>1、南通星辰和扬农集团，上周集中式实施均已完成，都在做清零扫尾工作，预计持续1个月，每周梳理实施清单</t>
  </si>
  <si>
    <t xml:space="preserve">
剩余电脑情况：
1、南通星辰：电脑总数：430台，总计完成402台，剩余不到30台
2、扬农集团：电脑总数：1084台，总计完成：1058台，剩余26台
</t>
  </si>
  <si>
    <t xml:space="preserve">
剩余电脑情况：
1、南通星辰：电脑总数：430台，总计完成411台，剩余19台
2、扬农集团：电脑总数：1084台，总计完成：1064台，剩余20台
</t>
  </si>
  <si>
    <t>南通星辰：剩下个别公司领导，待约时间再实施，预计观察2周后验收
扬农集团：剩下个别领导电脑，待约时间再实施，由工厂IT实施，供应商可辅助实施，项目已验收</t>
  </si>
  <si>
    <t>瑞泰网络情况梳理；标准化工作调研摸底（高纤、锦湖）；移动套餐评估；连云港机房消防；</t>
  </si>
  <si>
    <r>
      <t>1、资产租赁暂无变化
2、2025年度网络安全工作情况总结，黄亮已回复
3、瑞泰网络安全工作：黄亮本周二前往瑞泰开展加密调研工作的同时，开展进行网络安全工作</t>
    </r>
    <r>
      <rPr>
        <sz val="11"/>
        <color rgb="FFFF0000"/>
        <rFont val="等线"/>
        <family val="3"/>
        <charset val="134"/>
      </rPr>
      <t>（提供优化方案）</t>
    </r>
    <r>
      <rPr>
        <sz val="11"/>
        <color theme="1"/>
        <rFont val="等线"/>
        <family val="2"/>
        <scheme val="minor"/>
      </rPr>
      <t xml:space="preserve">
4、高纤和锦湖的标准化工作正在和王欣、陈静玮做前期沟通，正在评估工作方案</t>
    </r>
  </si>
  <si>
    <t>1、环氧/河北/中间体试运行上线遗留问题处理
2、日成本效益推广（南通星辰、河北鑫宝）：
1）跟进MES投入产出数据完善，配合用户测试与数据验证
2）测试三张配置报表
3、日成本效益模型推广（瑞祥、瑞泰）：
1）瑞祥MES工艺数据梳理，疑难问题沟通
2）瑞祥MES数据取数，联系生产用户核对
4、日成本效益模型推广（添加剂）：
1）参加一体化项目调研，初步了解添加剂事业部生产业务及系统情况
5、毛利因素分析模型：
1）进行数据加工和整合
2）模型初步搭建
6、外部市场价格补充（隆众）
1）合同修改
2）接口开发及取数</t>
  </si>
  <si>
    <r>
      <rPr>
        <sz val="9"/>
        <color rgb="FFFF0000"/>
        <rFont val="微软雅黑"/>
        <family val="2"/>
        <charset val="134"/>
      </rPr>
      <t>中间体三家工厂同步推进，2025年完成立项。</t>
    </r>
    <r>
      <rPr>
        <sz val="11"/>
        <color theme="1"/>
        <rFont val="等线"/>
        <family val="2"/>
        <scheme val="minor"/>
      </rPr>
      <t xml:space="preserve">
</t>
    </r>
    <r>
      <rPr>
        <sz val="9"/>
        <color rgb="FFFF0000"/>
        <rFont val="微软雅黑"/>
        <family val="2"/>
        <charset val="134"/>
      </rPr>
      <t>2026年重点项目，做好方案评估。</t>
    </r>
    <r>
      <rPr>
        <sz val="11"/>
        <color theme="1"/>
        <rFont val="等线"/>
        <family val="2"/>
        <scheme val="minor"/>
      </rPr>
      <t xml:space="preserve">
结合精准维修推广项目计划。约运营部一起沟通方案</t>
    </r>
  </si>
  <si>
    <t>员工绩效管理</t>
  </si>
  <si>
    <t>关注瑞泰的应用情况</t>
  </si>
  <si>
    <r>
      <t>可研范围：</t>
    </r>
    <r>
      <rPr>
        <sz val="9"/>
        <color rgb="FFFF0000"/>
        <rFont val="微软雅黑"/>
        <family val="2"/>
        <charset val="134"/>
      </rPr>
      <t>中间体、河北新材、圣奥。</t>
    </r>
    <r>
      <rPr>
        <sz val="11"/>
        <color theme="1"/>
        <rFont val="等线"/>
        <family val="2"/>
        <scheme val="minor"/>
      </rPr>
      <t xml:space="preserve">
立项：</t>
    </r>
    <r>
      <rPr>
        <sz val="9"/>
        <color rgb="FFFF0000"/>
        <rFont val="微软雅黑"/>
        <family val="2"/>
        <charset val="134"/>
      </rPr>
      <t>集中统一在事业部立项。</t>
    </r>
    <r>
      <rPr>
        <sz val="11"/>
        <color theme="1"/>
        <rFont val="等线"/>
        <family val="2"/>
        <scheme val="minor"/>
      </rPr>
      <t xml:space="preserve">
项目计划:制定项目里程碑计划时间表</t>
    </r>
  </si>
  <si>
    <t>124.220.181.231在这台服务器上配置SonarQube，为所有服务提供统一的质量视图、历史趋势和技术债务管理。服务器用户名ubuntu，密码Liu@bner1983，密钥E:\enterprise-ai-platform\SonarQube.pem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</si>
</sst>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yyyy&quot;年&quot;m&quot;月&quot;;@"/>
    <numFmt numFmtId="177" formatCode="yyyy\-mm\-dd;@"/>
  </numFmts>
  <fonts count="61" x14ac:knownFonts="1">
    <font>
      <sz val="11"/>
      <color theme="1"/>
      <name val="等线"/>
      <family val="2"/>
      <scheme val="minor"/>
    </font>
    <font>
      <sz val="11"/>
      <color theme="1"/>
      <name val="等线"/>
      <family val="2"/>
      <scheme val="minor"/>
    </font>
    <font>
      <b/>
      <sz val="10"/>
      <color rgb="FF000000"/>
      <name val="微软雅黑"/>
      <family val="2"/>
    </font>
    <font>
      <sz val="11"/>
      <color rgb="FF000000"/>
      <name val="微软雅黑"/>
      <family val="2"/>
    </font>
    <font>
      <sz val="10"/>
      <color rgb="FF2F5597"/>
      <name val="微软雅黑"/>
      <family val="2"/>
    </font>
    <font>
      <sz val="10"/>
      <color rgb="FF000000"/>
      <name val="微软雅黑"/>
      <family val="2"/>
    </font>
    <font>
      <b/>
      <sz val="10"/>
      <color rgb="FF2F5597"/>
      <name val="微软雅黑"/>
      <family val="2"/>
    </font>
    <font>
      <b/>
      <sz val="11"/>
      <color rgb="FFFFFFFF"/>
      <name val="等线"/>
      <family val="2"/>
    </font>
    <font>
      <sz val="10"/>
      <color rgb="FF000000"/>
      <name val="等线"/>
      <family val="2"/>
    </font>
    <font>
      <sz val="11"/>
      <color rgb="FF000000"/>
      <name val="等线"/>
      <family val="2"/>
    </font>
    <font>
      <sz val="10"/>
      <color rgb="FF2F5597"/>
      <name val="Microsoft YaHei Light"/>
      <family val="2"/>
    </font>
    <font>
      <sz val="10"/>
      <color rgb="FF000000"/>
      <name val="Microsoft YaHei Light"/>
      <family val="2"/>
    </font>
    <font>
      <b/>
      <sz val="10"/>
      <color rgb="FF2F5597"/>
      <name val="Microsoft YaHei Light"/>
      <family val="2"/>
    </font>
    <font>
      <b/>
      <sz val="10"/>
      <color rgb="FF000000"/>
      <name val="Microsoft YaHei Light"/>
      <family val="2"/>
    </font>
    <font>
      <sz val="9"/>
      <color rgb="FF000000"/>
      <name val="微软雅黑"/>
      <family val="2"/>
    </font>
    <font>
      <b/>
      <sz val="9"/>
      <color rgb="FF000000"/>
      <name val="微软雅黑"/>
      <family val="2"/>
    </font>
    <font>
      <sz val="9"/>
      <color rgb="FF2F5597"/>
      <name val="微软雅黑"/>
      <family val="2"/>
    </font>
    <font>
      <b/>
      <sz val="9"/>
      <color rgb="FF2F5597"/>
      <name val="微软雅黑"/>
      <family val="2"/>
    </font>
    <font>
      <b/>
      <sz val="11"/>
      <color rgb="FFFFFFFF"/>
      <name val="微软雅黑"/>
      <family val="2"/>
    </font>
    <font>
      <sz val="10"/>
      <color rgb="FFFF0000"/>
      <name val="微软雅黑"/>
      <family val="2"/>
    </font>
    <font>
      <sz val="10"/>
      <color rgb="FF2F5597"/>
      <name val="等线"/>
      <family val="2"/>
    </font>
    <font>
      <sz val="9"/>
      <color rgb="FF000000"/>
      <name val="等线"/>
      <family val="2"/>
    </font>
    <font>
      <b/>
      <sz val="10"/>
      <color rgb="FFFF0000"/>
      <name val="微软雅黑"/>
      <family val="2"/>
    </font>
    <font>
      <b/>
      <sz val="10"/>
      <color rgb="FF2E75B6"/>
      <name val="微软雅黑"/>
      <family val="2"/>
    </font>
    <font>
      <b/>
      <sz val="9"/>
      <color rgb="FFFF0000"/>
      <name val="微软雅黑"/>
      <family val="2"/>
    </font>
    <font>
      <b/>
      <sz val="9"/>
      <color rgb="FF2E75B6"/>
      <name val="微软雅黑"/>
      <family val="2"/>
    </font>
    <font>
      <sz val="9"/>
      <color rgb="FFFF0000"/>
      <name val="微软雅黑"/>
      <family val="2"/>
    </font>
    <font>
      <sz val="9"/>
      <color rgb="FF009B74"/>
      <name val="微软雅黑"/>
      <family val="2"/>
    </font>
    <font>
      <sz val="11"/>
      <color rgb="FFFD4147"/>
      <name val="等线"/>
      <family val="2"/>
    </font>
    <font>
      <b/>
      <sz val="18"/>
      <color rgb="FFFFFFFF"/>
      <name val="微软雅黑"/>
      <family val="2"/>
    </font>
    <font>
      <b/>
      <sz val="8"/>
      <color rgb="FFFF0000"/>
      <name val="微软雅黑"/>
      <family val="2"/>
    </font>
    <font>
      <sz val="10"/>
      <color rgb="FFFF0000"/>
      <name val="Microsoft YaHei Light"/>
      <family val="2"/>
      <charset val="134"/>
    </font>
    <font>
      <b/>
      <sz val="11"/>
      <color rgb="FF000000"/>
      <name val="等线"/>
      <family val="3"/>
      <charset val="134"/>
    </font>
    <font>
      <sz val="10"/>
      <color rgb="FFFF0000"/>
      <name val="微软雅黑"/>
      <family val="2"/>
      <charset val="134"/>
    </font>
    <font>
      <sz val="10"/>
      <color rgb="FF000000"/>
      <name val="等线"/>
      <family val="3"/>
      <charset val="134"/>
    </font>
    <font>
      <sz val="10"/>
      <color rgb="FFFD4147"/>
      <name val="等线"/>
      <family val="2"/>
    </font>
    <font>
      <sz val="10"/>
      <color rgb="FF2F5597"/>
      <name val="微软雅黑"/>
      <family val="2"/>
      <charset val="134"/>
    </font>
    <font>
      <sz val="10"/>
      <color rgb="FF000000"/>
      <name val="微软雅黑"/>
      <family val="2"/>
      <charset val="134"/>
    </font>
    <font>
      <sz val="11"/>
      <color rgb="FF000000"/>
      <name val="等线"/>
      <family val="3"/>
      <charset val="134"/>
    </font>
    <font>
      <b/>
      <sz val="10"/>
      <color rgb="FF000000"/>
      <name val="微软雅黑"/>
      <family val="2"/>
      <charset val="134"/>
    </font>
    <font>
      <sz val="9"/>
      <color rgb="FFFD4147"/>
      <name val="微软雅黑"/>
      <family val="2"/>
    </font>
    <font>
      <b/>
      <sz val="9"/>
      <color rgb="FFFD4147"/>
      <name val="微软雅黑"/>
      <family val="2"/>
    </font>
    <font>
      <sz val="9"/>
      <color rgb="FF2F5597"/>
      <name val="微软雅黑"/>
      <family val="2"/>
      <charset val="134"/>
    </font>
    <font>
      <sz val="9"/>
      <color rgb="FF000000"/>
      <name val="微软雅黑"/>
      <family val="2"/>
      <charset val="134"/>
    </font>
    <font>
      <sz val="9"/>
      <name val="微软雅黑"/>
      <family val="2"/>
      <charset val="134"/>
    </font>
    <font>
      <sz val="9"/>
      <color rgb="FFFD4147"/>
      <name val="微软雅黑"/>
      <family val="2"/>
      <charset val="134"/>
    </font>
    <font>
      <b/>
      <sz val="9"/>
      <color rgb="FF000000"/>
      <name val="微软雅黑"/>
      <family val="2"/>
      <charset val="134"/>
    </font>
    <font>
      <b/>
      <sz val="9"/>
      <color rgb="FFFF0000"/>
      <name val="微软雅黑"/>
      <family val="2"/>
      <charset val="134"/>
    </font>
    <font>
      <b/>
      <sz val="9"/>
      <color rgb="FF2F5597"/>
      <name val="微软雅黑"/>
      <family val="2"/>
      <charset val="134"/>
    </font>
    <font>
      <sz val="9"/>
      <color rgb="FF00D09B"/>
      <name val="微软雅黑"/>
      <family val="2"/>
    </font>
    <font>
      <sz val="9"/>
      <color rgb="FFFDC82F"/>
      <name val="微软雅黑"/>
      <family val="2"/>
    </font>
    <font>
      <sz val="9"/>
      <color rgb="FF4696FB"/>
      <name val="微软雅黑"/>
      <family val="2"/>
    </font>
    <font>
      <sz val="9"/>
      <color rgb="FF009B74"/>
      <name val="微软雅黑"/>
      <family val="2"/>
      <charset val="134"/>
    </font>
    <font>
      <sz val="9"/>
      <color rgb="FFFF0000"/>
      <name val="微软雅黑"/>
      <family val="2"/>
      <charset val="134"/>
    </font>
    <font>
      <sz val="9"/>
      <color rgb="FF00D09B"/>
      <name val="微软雅黑"/>
      <family val="2"/>
      <charset val="134"/>
    </font>
    <font>
      <b/>
      <sz val="9"/>
      <color rgb="FFFD4147"/>
      <name val="微软雅黑"/>
      <family val="2"/>
      <charset val="134"/>
    </font>
    <font>
      <sz val="9"/>
      <color rgb="FF00D0D9"/>
      <name val="微软雅黑"/>
      <family val="2"/>
      <charset val="134"/>
    </font>
    <font>
      <sz val="9"/>
      <color rgb="FFFF8700"/>
      <name val="微软雅黑"/>
      <family val="2"/>
      <charset val="134"/>
    </font>
    <font>
      <sz val="11"/>
      <color rgb="FFFF0000"/>
      <name val="等线"/>
      <family val="3"/>
      <charset val="134"/>
    </font>
    <font>
      <sz val="9"/>
      <color indexed="81"/>
      <name val="Tahoma"/>
      <family val="2"/>
    </font>
    <font>
      <sz val="9"/>
      <name val="等线"/>
      <family val="3"/>
      <charset val="134"/>
      <scheme val="minor"/>
    </font>
  </fonts>
  <fills count="201">
    <fill>
      <patternFill patternType="none"/>
    </fill>
    <fill>
      <patternFill patternType="gray125"/>
    </fill>
    <fill>
      <patternFill patternType="solid">
        <fgColor rgb="FFDEEBF7"/>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0070C0"/>
        <bgColor rgb="FF000000"/>
      </patternFill>
    </fill>
    <fill>
      <patternFill patternType="solid">
        <fgColor rgb="FFFFFFFF"/>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EEBF7"/>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FFFFFF"/>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4696FB"/>
        <bgColor rgb="FF000000"/>
      </patternFill>
    </fill>
    <fill>
      <patternFill patternType="solid">
        <fgColor rgb="FFDBDBDB"/>
        <bgColor rgb="FF000000"/>
      </patternFill>
    </fill>
    <fill>
      <patternFill patternType="solid">
        <fgColor rgb="FFDBDBDB"/>
        <bgColor rgb="FF000000"/>
      </patternFill>
    </fill>
    <fill>
      <patternFill patternType="solid">
        <fgColor rgb="FFFFFFFF"/>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CCCCCC"/>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FFFFFF"/>
        <bgColor rgb="FF000000"/>
      </patternFill>
    </fill>
    <fill>
      <patternFill patternType="solid">
        <fgColor rgb="FFE5E5E5"/>
        <bgColor rgb="FF000000"/>
      </patternFill>
    </fill>
    <fill>
      <patternFill patternType="solid">
        <fgColor rgb="FFE5E5E5"/>
        <bgColor rgb="FF000000"/>
      </patternFill>
    </fill>
    <fill>
      <patternFill patternType="solid">
        <fgColor rgb="FFE5E5E5"/>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EEBF7"/>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B2B2B2"/>
        <bgColor rgb="FF000000"/>
      </patternFill>
    </fill>
    <fill>
      <patternFill patternType="solid">
        <fgColor rgb="FFD9D9D9"/>
        <bgColor rgb="FF000000"/>
      </patternFill>
    </fill>
    <fill>
      <patternFill patternType="solid">
        <fgColor rgb="FFB2B2B2"/>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999999"/>
        <bgColor rgb="FF000000"/>
      </patternFill>
    </fill>
    <fill>
      <patternFill patternType="solid">
        <fgColor rgb="FF999999"/>
        <bgColor rgb="FF000000"/>
      </patternFill>
    </fill>
    <fill>
      <patternFill patternType="solid">
        <fgColor rgb="FF999999"/>
        <bgColor rgb="FF000000"/>
      </patternFill>
    </fill>
    <fill>
      <patternFill patternType="solid">
        <fgColor rgb="FFD9D9D9"/>
        <bgColor rgb="FF000000"/>
      </patternFill>
    </fill>
    <fill>
      <patternFill patternType="solid">
        <fgColor rgb="FFD9D9D9"/>
        <bgColor rgb="FF000000"/>
      </patternFill>
    </fill>
    <fill>
      <patternFill patternType="solid">
        <fgColor rgb="FFB2B2B2"/>
        <bgColor rgb="FF000000"/>
      </patternFill>
    </fill>
    <fill>
      <patternFill patternType="solid">
        <fgColor rgb="FFD9D9D9"/>
        <bgColor rgb="FF000000"/>
      </patternFill>
    </fill>
    <fill>
      <patternFill patternType="solid">
        <fgColor rgb="FFFFFFFF"/>
        <bgColor rgb="FF000000"/>
      </patternFill>
    </fill>
    <fill>
      <patternFill patternType="solid">
        <fgColor rgb="FFB2B2B2"/>
        <bgColor rgb="FF000000"/>
      </patternFill>
    </fill>
    <fill>
      <patternFill patternType="solid">
        <fgColor rgb="FFD9D9D9"/>
        <bgColor rgb="FF000000"/>
      </patternFill>
    </fill>
    <fill>
      <patternFill patternType="solid">
        <fgColor rgb="FFDBDBDB"/>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808080"/>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808080"/>
        <bgColor rgb="FF000000"/>
      </patternFill>
    </fill>
    <fill>
      <patternFill patternType="solid">
        <fgColor rgb="FF808080"/>
        <bgColor rgb="FF000000"/>
      </patternFill>
    </fill>
    <fill>
      <patternFill patternType="solid">
        <fgColor rgb="FFFD4147"/>
        <bgColor rgb="FF000000"/>
      </patternFill>
    </fill>
    <fill>
      <patternFill patternType="solid">
        <fgColor rgb="FFFD4147"/>
        <bgColor rgb="FF000000"/>
      </patternFill>
    </fill>
    <fill>
      <patternFill patternType="solid">
        <fgColor rgb="FFFFFFFF"/>
        <bgColor rgb="FF000000"/>
      </patternFill>
    </fill>
    <fill>
      <patternFill patternType="solid">
        <fgColor rgb="FFD9D9D9"/>
        <bgColor rgb="FF000000"/>
      </patternFill>
    </fill>
    <fill>
      <patternFill patternType="solid">
        <fgColor rgb="FF808080"/>
        <bgColor rgb="FF000000"/>
      </patternFill>
    </fill>
    <fill>
      <patternFill patternType="solid">
        <fgColor rgb="FF808080"/>
        <bgColor rgb="FF000000"/>
      </patternFill>
    </fill>
    <fill>
      <patternFill patternType="solid">
        <fgColor rgb="FFD9D9D9"/>
        <bgColor rgb="FF000000"/>
      </patternFill>
    </fill>
    <fill>
      <patternFill patternType="solid">
        <fgColor rgb="FFD9D9D9"/>
        <bgColor rgb="FF000000"/>
      </patternFill>
    </fill>
    <fill>
      <patternFill patternType="solid">
        <fgColor rgb="FF4696FB"/>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4696FB"/>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CCCCCC"/>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CCCCCC"/>
        <bgColor rgb="FF000000"/>
      </patternFill>
    </fill>
    <fill>
      <patternFill patternType="solid">
        <fgColor rgb="FFCCCCCC"/>
        <bgColor rgb="FF000000"/>
      </patternFill>
    </fill>
    <fill>
      <patternFill patternType="solid">
        <fgColor rgb="FFD9D9D9"/>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CCCCCC"/>
        <bgColor rgb="FF000000"/>
      </patternFill>
    </fill>
    <fill>
      <patternFill patternType="solid">
        <fgColor rgb="FFFFFFFF"/>
        <bgColor rgb="FF000000"/>
      </patternFill>
    </fill>
    <fill>
      <patternFill patternType="solid">
        <fgColor rgb="FFCCCCCC"/>
        <bgColor rgb="FF000000"/>
      </patternFill>
    </fill>
    <fill>
      <patternFill patternType="solid">
        <fgColor rgb="FFFEEEC1"/>
        <bgColor rgb="FF000000"/>
      </patternFill>
    </fill>
    <fill>
      <patternFill patternType="solid">
        <fgColor rgb="FFD9D9D9"/>
        <bgColor rgb="FF000000"/>
      </patternFill>
    </fill>
    <fill>
      <patternFill patternType="solid">
        <fgColor rgb="FFB2B2B2"/>
        <bgColor rgb="FF000000"/>
      </patternFill>
    </fill>
    <fill>
      <patternFill patternType="solid">
        <fgColor rgb="FF808080"/>
        <bgColor rgb="FF000000"/>
      </patternFill>
    </fill>
  </fills>
  <borders count="35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1"/>
  </cellStyleXfs>
  <cellXfs count="403">
    <xf numFmtId="0" fontId="0" fillId="0" borderId="0" xfId="0"/>
    <xf numFmtId="0" fontId="2" fillId="2" borderId="2" xfId="0" applyNumberFormat="1" applyFont="1" applyFill="1" applyBorder="1" applyAlignment="1">
      <alignment horizontal="center" vertical="center"/>
    </xf>
    <xf numFmtId="0" fontId="3" fillId="0" borderId="3" xfId="0" applyNumberFormat="1" applyFont="1" applyBorder="1"/>
    <xf numFmtId="0" fontId="4" fillId="3" borderId="4" xfId="0" applyNumberFormat="1" applyFont="1" applyFill="1" applyBorder="1" applyAlignment="1">
      <alignment vertical="top" wrapText="1"/>
    </xf>
    <xf numFmtId="14" fontId="4" fillId="4" borderId="5" xfId="0" applyNumberFormat="1" applyFont="1" applyFill="1" applyBorder="1" applyAlignment="1">
      <alignment vertical="center"/>
    </xf>
    <xf numFmtId="0" fontId="2" fillId="0" borderId="6" xfId="0" applyNumberFormat="1" applyFont="1" applyBorder="1" applyAlignment="1">
      <alignment horizontal="center" vertical="center" wrapText="1"/>
    </xf>
    <xf numFmtId="0" fontId="5" fillId="0" borderId="7" xfId="0" applyNumberFormat="1" applyFont="1" applyBorder="1" applyAlignment="1">
      <alignment vertical="top" wrapText="1"/>
    </xf>
    <xf numFmtId="14" fontId="5" fillId="0" borderId="8" xfId="0" applyNumberFormat="1" applyFont="1" applyBorder="1" applyAlignment="1">
      <alignment vertical="center"/>
    </xf>
    <xf numFmtId="0" fontId="6" fillId="5" borderId="9" xfId="0" applyNumberFormat="1" applyFont="1" applyFill="1" applyBorder="1" applyAlignment="1">
      <alignment horizontal="center" vertical="center" wrapText="1"/>
    </xf>
    <xf numFmtId="0" fontId="4" fillId="6" borderId="10" xfId="0" applyNumberFormat="1" applyFont="1" applyFill="1" applyBorder="1" applyAlignment="1">
      <alignment vertical="top" wrapText="1"/>
    </xf>
    <xf numFmtId="176" fontId="4" fillId="7" borderId="11" xfId="0" applyNumberFormat="1" applyFont="1" applyFill="1" applyBorder="1" applyAlignment="1">
      <alignment horizontal="center" vertical="center"/>
    </xf>
    <xf numFmtId="14" fontId="4" fillId="8" borderId="12" xfId="0" applyNumberFormat="1" applyFont="1" applyFill="1" applyBorder="1" applyAlignment="1">
      <alignment horizontal="center" vertical="center"/>
    </xf>
    <xf numFmtId="0" fontId="2" fillId="0" borderId="13" xfId="0" applyNumberFormat="1" applyFont="1" applyBorder="1" applyAlignment="1">
      <alignment horizontal="center" vertical="center" wrapText="1"/>
    </xf>
    <xf numFmtId="14" fontId="5" fillId="9" borderId="14" xfId="0" applyNumberFormat="1" applyFont="1" applyFill="1" applyBorder="1" applyAlignment="1">
      <alignment horizontal="center" vertical="center"/>
    </xf>
    <xf numFmtId="176" fontId="5" fillId="10" borderId="15" xfId="0" applyNumberFormat="1" applyFont="1" applyFill="1" applyBorder="1" applyAlignment="1">
      <alignment horizontal="center" vertical="center"/>
    </xf>
    <xf numFmtId="0" fontId="2" fillId="11" borderId="16" xfId="0" applyNumberFormat="1" applyFont="1" applyFill="1" applyBorder="1" applyAlignment="1">
      <alignment horizontal="center" vertical="center" wrapText="1"/>
    </xf>
    <xf numFmtId="0" fontId="5" fillId="0" borderId="17" xfId="0" applyNumberFormat="1" applyFont="1" applyBorder="1" applyAlignment="1">
      <alignment vertical="top" wrapText="1"/>
    </xf>
    <xf numFmtId="0" fontId="2" fillId="12" borderId="18" xfId="0" applyNumberFormat="1" applyFont="1" applyFill="1" applyBorder="1" applyAlignment="1">
      <alignment horizontal="center" vertical="center" wrapText="1"/>
    </xf>
    <xf numFmtId="0" fontId="5" fillId="0" borderId="19" xfId="0" applyNumberFormat="1" applyFont="1" applyBorder="1" applyAlignment="1">
      <alignment vertical="top" wrapText="1"/>
    </xf>
    <xf numFmtId="0" fontId="7" fillId="13" borderId="20" xfId="0" applyNumberFormat="1" applyFont="1" applyFill="1" applyBorder="1" applyAlignment="1">
      <alignment horizontal="center" vertical="center"/>
    </xf>
    <xf numFmtId="0" fontId="8" fillId="0" borderId="21" xfId="0" applyNumberFormat="1" applyFont="1" applyBorder="1"/>
    <xf numFmtId="0" fontId="8" fillId="14" borderId="22" xfId="0" applyNumberFormat="1" applyFont="1" applyFill="1" applyBorder="1"/>
    <xf numFmtId="176" fontId="8" fillId="0" borderId="23" xfId="0" applyNumberFormat="1" applyFont="1" applyBorder="1"/>
    <xf numFmtId="0" fontId="2" fillId="15" borderId="24" xfId="0" applyNumberFormat="1" applyFont="1" applyFill="1" applyBorder="1" applyAlignment="1">
      <alignment horizontal="left" vertical="top" wrapText="1"/>
    </xf>
    <xf numFmtId="0" fontId="2" fillId="16" borderId="25" xfId="0" applyNumberFormat="1" applyFont="1" applyFill="1" applyBorder="1" applyAlignment="1">
      <alignment horizontal="center" vertical="center"/>
    </xf>
    <xf numFmtId="0" fontId="2" fillId="17" borderId="26" xfId="0" applyNumberFormat="1" applyFont="1" applyFill="1" applyBorder="1" applyAlignment="1">
      <alignment horizontal="left" vertical="top" wrapText="1"/>
    </xf>
    <xf numFmtId="0" fontId="6" fillId="18" borderId="27" xfId="0" applyNumberFormat="1" applyFont="1" applyFill="1" applyBorder="1" applyAlignment="1">
      <alignment horizontal="center" vertical="center" wrapText="1"/>
    </xf>
    <xf numFmtId="0" fontId="6" fillId="19" borderId="28" xfId="0" applyNumberFormat="1" applyFont="1" applyFill="1" applyBorder="1" applyAlignment="1">
      <alignment horizontal="center" vertical="center" wrapText="1"/>
    </xf>
    <xf numFmtId="0" fontId="9" fillId="20" borderId="29" xfId="0" applyNumberFormat="1" applyFont="1" applyFill="1" applyBorder="1"/>
    <xf numFmtId="0" fontId="2" fillId="21" borderId="30" xfId="0" applyNumberFormat="1" applyFont="1" applyFill="1" applyBorder="1" applyAlignment="1">
      <alignment horizontal="center" vertical="center" wrapText="1"/>
    </xf>
    <xf numFmtId="0" fontId="10" fillId="22" borderId="31" xfId="0" applyNumberFormat="1" applyFont="1" applyFill="1" applyBorder="1" applyAlignment="1">
      <alignment vertical="top" wrapText="1"/>
    </xf>
    <xf numFmtId="0" fontId="11" fillId="0" borderId="32" xfId="0" applyNumberFormat="1" applyFont="1" applyBorder="1" applyAlignment="1">
      <alignment vertical="top" wrapText="1"/>
    </xf>
    <xf numFmtId="0" fontId="2" fillId="23" borderId="33" xfId="0" applyNumberFormat="1" applyFont="1" applyFill="1" applyBorder="1" applyAlignment="1">
      <alignment horizontal="center" vertical="center"/>
    </xf>
    <xf numFmtId="14" fontId="12" fillId="24" borderId="34" xfId="0" applyNumberFormat="1" applyFont="1" applyFill="1" applyBorder="1" applyAlignment="1">
      <alignment horizontal="center" vertical="center"/>
    </xf>
    <xf numFmtId="14" fontId="12" fillId="25" borderId="35" xfId="0" applyNumberFormat="1" applyFont="1" applyFill="1" applyBorder="1" applyAlignment="1">
      <alignment horizontal="center" vertical="center"/>
    </xf>
    <xf numFmtId="14" fontId="13" fillId="26" borderId="36" xfId="0" applyNumberFormat="1" applyFont="1" applyFill="1" applyBorder="1" applyAlignment="1">
      <alignment horizontal="center" vertical="center"/>
    </xf>
    <xf numFmtId="14" fontId="13" fillId="27" borderId="37" xfId="0" applyNumberFormat="1" applyFont="1" applyFill="1" applyBorder="1" applyAlignment="1">
      <alignment horizontal="center" vertical="center"/>
    </xf>
    <xf numFmtId="176" fontId="13" fillId="28" borderId="38" xfId="0" applyNumberFormat="1" applyFont="1" applyFill="1" applyBorder="1" applyAlignment="1">
      <alignment horizontal="center" vertical="center"/>
    </xf>
    <xf numFmtId="14" fontId="13" fillId="29" borderId="39" xfId="0" applyNumberFormat="1" applyFont="1" applyFill="1" applyBorder="1" applyAlignment="1">
      <alignment horizontal="center" vertical="center"/>
    </xf>
    <xf numFmtId="176" fontId="13" fillId="30" borderId="40" xfId="0" applyNumberFormat="1" applyFont="1" applyFill="1" applyBorder="1" applyAlignment="1">
      <alignment horizontal="center" vertical="center"/>
    </xf>
    <xf numFmtId="14" fontId="13" fillId="31" borderId="41" xfId="0" applyNumberFormat="1" applyFont="1" applyFill="1" applyBorder="1" applyAlignment="1">
      <alignment horizontal="center" vertical="center"/>
    </xf>
    <xf numFmtId="0" fontId="10" fillId="32" borderId="42" xfId="0" applyNumberFormat="1" applyFont="1" applyFill="1" applyBorder="1" applyAlignment="1">
      <alignment horizontal="left" vertical="center" wrapText="1"/>
    </xf>
    <xf numFmtId="0" fontId="11" fillId="0" borderId="43" xfId="0" applyNumberFormat="1" applyFont="1" applyBorder="1" applyAlignment="1">
      <alignment horizontal="left" vertical="center" wrapText="1"/>
    </xf>
    <xf numFmtId="0" fontId="11" fillId="0" borderId="44" xfId="0" applyNumberFormat="1" applyFont="1" applyBorder="1" applyAlignment="1">
      <alignment horizontal="left" vertical="top" wrapText="1"/>
    </xf>
    <xf numFmtId="0" fontId="10" fillId="33" borderId="45" xfId="0" applyNumberFormat="1" applyFont="1" applyFill="1" applyBorder="1" applyAlignment="1">
      <alignment horizontal="left" vertical="center" wrapText="1"/>
    </xf>
    <xf numFmtId="0" fontId="9" fillId="0" borderId="46" xfId="0" applyNumberFormat="1" applyFont="1" applyBorder="1" applyAlignment="1">
      <alignment horizontal="left" vertical="center" wrapText="1"/>
    </xf>
    <xf numFmtId="0" fontId="4" fillId="34" borderId="47" xfId="0" applyNumberFormat="1" applyFont="1" applyFill="1" applyBorder="1" applyAlignment="1">
      <alignment horizontal="center" vertical="top" wrapText="1"/>
    </xf>
    <xf numFmtId="0" fontId="3" fillId="0" borderId="48" xfId="0" applyNumberFormat="1" applyFont="1" applyBorder="1" applyAlignment="1">
      <alignment horizontal="center"/>
    </xf>
    <xf numFmtId="0" fontId="9" fillId="0" borderId="49" xfId="0" applyNumberFormat="1" applyFont="1" applyBorder="1" applyAlignment="1">
      <alignment horizontal="center"/>
    </xf>
    <xf numFmtId="0" fontId="14" fillId="0" borderId="50" xfId="0" applyNumberFormat="1" applyFont="1" applyBorder="1" applyAlignment="1">
      <alignment vertical="top"/>
    </xf>
    <xf numFmtId="0" fontId="15" fillId="35" borderId="51" xfId="0" applyNumberFormat="1" applyFont="1" applyFill="1" applyBorder="1" applyAlignment="1">
      <alignment horizontal="center" vertical="center" wrapText="1"/>
    </xf>
    <xf numFmtId="0" fontId="16" fillId="36" borderId="52" xfId="0" applyNumberFormat="1" applyFont="1" applyFill="1" applyBorder="1" applyAlignment="1">
      <alignment horizontal="left" vertical="top" wrapText="1"/>
    </xf>
    <xf numFmtId="0" fontId="14" fillId="0" borderId="53" xfId="0" applyNumberFormat="1" applyFont="1" applyBorder="1" applyAlignment="1">
      <alignment horizontal="left" vertical="top" wrapText="1"/>
    </xf>
    <xf numFmtId="0" fontId="16" fillId="37" borderId="54" xfId="0" applyNumberFormat="1" applyFont="1" applyFill="1" applyBorder="1" applyAlignment="1">
      <alignment horizontal="center" vertical="top" wrapText="1"/>
    </xf>
    <xf numFmtId="0" fontId="9" fillId="0" borderId="55" xfId="0" applyNumberFormat="1" applyFont="1" applyBorder="1" applyAlignment="1">
      <alignment horizontal="center"/>
    </xf>
    <xf numFmtId="0" fontId="10" fillId="38" borderId="56" xfId="0" applyNumberFormat="1" applyFont="1" applyFill="1" applyBorder="1" applyAlignment="1">
      <alignment horizontal="left" vertical="center" wrapText="1"/>
    </xf>
    <xf numFmtId="0" fontId="2" fillId="39" borderId="57" xfId="0" applyNumberFormat="1" applyFont="1" applyFill="1" applyBorder="1" applyAlignment="1">
      <alignment horizontal="center" vertical="center" wrapText="1"/>
    </xf>
    <xf numFmtId="0" fontId="4" fillId="40" borderId="58" xfId="0" applyNumberFormat="1" applyFont="1" applyFill="1" applyBorder="1" applyAlignment="1">
      <alignment horizontal="center" vertical="top" wrapText="1"/>
    </xf>
    <xf numFmtId="0" fontId="9" fillId="0" borderId="59" xfId="0" applyNumberFormat="1" applyFont="1" applyBorder="1" applyAlignment="1">
      <alignment horizontal="left" wrapText="1"/>
    </xf>
    <xf numFmtId="14" fontId="5" fillId="41" borderId="60" xfId="0" applyNumberFormat="1" applyFont="1" applyFill="1" applyBorder="1" applyAlignment="1">
      <alignment horizontal="center" vertical="center"/>
    </xf>
    <xf numFmtId="0" fontId="4" fillId="42" borderId="61" xfId="0" applyNumberFormat="1" applyFont="1" applyFill="1" applyBorder="1" applyAlignment="1">
      <alignment horizontal="center" vertical="top" wrapText="1"/>
    </xf>
    <xf numFmtId="0" fontId="3" fillId="0" borderId="62" xfId="0" applyNumberFormat="1" applyFont="1" applyBorder="1" applyAlignment="1">
      <alignment horizontal="center"/>
    </xf>
    <xf numFmtId="0" fontId="14" fillId="0" borderId="63" xfId="0" applyNumberFormat="1" applyFont="1" applyBorder="1" applyAlignment="1">
      <alignment horizontal="left" vertical="top"/>
    </xf>
    <xf numFmtId="0" fontId="14" fillId="0" borderId="64" xfId="0" applyNumberFormat="1" applyFont="1" applyBorder="1" applyAlignment="1">
      <alignment horizontal="center" vertical="center"/>
    </xf>
    <xf numFmtId="0" fontId="14" fillId="0" borderId="65" xfId="0" applyNumberFormat="1" applyFont="1" applyBorder="1" applyAlignment="1">
      <alignment horizontal="center" vertical="center" wrapText="1"/>
    </xf>
    <xf numFmtId="0" fontId="17" fillId="43" borderId="66" xfId="0" applyNumberFormat="1" applyFont="1" applyFill="1" applyBorder="1" applyAlignment="1">
      <alignment horizontal="center" vertical="center" wrapText="1"/>
    </xf>
    <xf numFmtId="0" fontId="15" fillId="0" borderId="67" xfId="0" applyNumberFormat="1" applyFont="1" applyBorder="1" applyAlignment="1">
      <alignment horizontal="center" vertical="center" wrapText="1"/>
    </xf>
    <xf numFmtId="0" fontId="17" fillId="44" borderId="68" xfId="0" applyNumberFormat="1" applyFont="1" applyFill="1" applyBorder="1" applyAlignment="1">
      <alignment horizontal="center" vertical="center" wrapText="1"/>
    </xf>
    <xf numFmtId="0" fontId="14" fillId="0" borderId="69" xfId="0" applyNumberFormat="1" applyFont="1" applyBorder="1" applyAlignment="1">
      <alignment vertical="center"/>
    </xf>
    <xf numFmtId="14" fontId="14" fillId="0" borderId="70" xfId="0" applyNumberFormat="1" applyFont="1" applyBorder="1" applyAlignment="1">
      <alignment horizontal="center" vertical="center"/>
    </xf>
    <xf numFmtId="14" fontId="15" fillId="45" borderId="71" xfId="0" applyNumberFormat="1" applyFont="1" applyFill="1" applyBorder="1" applyAlignment="1">
      <alignment horizontal="center" vertical="center"/>
    </xf>
    <xf numFmtId="0" fontId="9" fillId="46" borderId="72" xfId="0" applyNumberFormat="1" applyFont="1" applyFill="1" applyBorder="1"/>
    <xf numFmtId="0" fontId="6" fillId="47" borderId="73" xfId="0" applyNumberFormat="1" applyFont="1" applyFill="1" applyBorder="1" applyAlignment="1">
      <alignment horizontal="center" vertical="center" wrapText="1"/>
    </xf>
    <xf numFmtId="14" fontId="12" fillId="48" borderId="74" xfId="0" applyNumberFormat="1" applyFont="1" applyFill="1" applyBorder="1" applyAlignment="1">
      <alignment horizontal="center" vertical="center"/>
    </xf>
    <xf numFmtId="14" fontId="12" fillId="49" borderId="75" xfId="0" applyNumberFormat="1" applyFont="1" applyFill="1" applyBorder="1" applyAlignment="1">
      <alignment horizontal="center" vertical="center"/>
    </xf>
    <xf numFmtId="0" fontId="2" fillId="50" borderId="76" xfId="0" applyNumberFormat="1" applyFont="1" applyFill="1" applyBorder="1" applyAlignment="1">
      <alignment horizontal="center" vertical="center" wrapText="1"/>
    </xf>
    <xf numFmtId="14" fontId="13" fillId="51" borderId="77" xfId="0" applyNumberFormat="1" applyFont="1" applyFill="1" applyBorder="1" applyAlignment="1">
      <alignment horizontal="center" vertical="center"/>
    </xf>
    <xf numFmtId="176" fontId="13" fillId="52" borderId="78" xfId="0" applyNumberFormat="1" applyFont="1" applyFill="1" applyBorder="1" applyAlignment="1">
      <alignment horizontal="center" vertical="center"/>
    </xf>
    <xf numFmtId="14" fontId="13" fillId="53" borderId="79" xfId="0" applyNumberFormat="1" applyFont="1" applyFill="1" applyBorder="1" applyAlignment="1">
      <alignment horizontal="center" vertical="center"/>
    </xf>
    <xf numFmtId="14" fontId="13" fillId="54" borderId="80" xfId="0" applyNumberFormat="1" applyFont="1" applyFill="1" applyBorder="1" applyAlignment="1">
      <alignment horizontal="center" vertical="center"/>
    </xf>
    <xf numFmtId="0" fontId="12" fillId="55" borderId="81" xfId="0" applyNumberFormat="1" applyFont="1" applyFill="1" applyBorder="1" applyAlignment="1">
      <alignment horizontal="center" vertical="center" wrapText="1"/>
    </xf>
    <xf numFmtId="0" fontId="12" fillId="56" borderId="82" xfId="0" applyNumberFormat="1" applyFont="1" applyFill="1" applyBorder="1" applyAlignment="1">
      <alignment horizontal="left" vertical="center" wrapText="1"/>
    </xf>
    <xf numFmtId="0" fontId="13" fillId="57" borderId="83" xfId="0" applyNumberFormat="1" applyFont="1" applyFill="1" applyBorder="1" applyAlignment="1">
      <alignment horizontal="center" vertical="center"/>
    </xf>
    <xf numFmtId="14" fontId="13" fillId="58" borderId="84" xfId="0" applyNumberFormat="1" applyFont="1" applyFill="1" applyBorder="1" applyAlignment="1">
      <alignment vertical="center"/>
    </xf>
    <xf numFmtId="0" fontId="8" fillId="0" borderId="85" xfId="0" applyNumberFormat="1" applyFont="1" applyBorder="1" applyAlignment="1">
      <alignment horizontal="left" vertical="center" wrapText="1"/>
    </xf>
    <xf numFmtId="0" fontId="3" fillId="0" borderId="86" xfId="0" applyNumberFormat="1" applyFont="1" applyBorder="1" applyAlignment="1">
      <alignment horizontal="center"/>
    </xf>
    <xf numFmtId="0" fontId="3" fillId="0" borderId="87" xfId="0" applyNumberFormat="1" applyFont="1" applyBorder="1" applyAlignment="1">
      <alignment horizontal="center" wrapText="1"/>
    </xf>
    <xf numFmtId="0" fontId="9" fillId="0" borderId="88" xfId="0" applyNumberFormat="1" applyFont="1" applyBorder="1" applyAlignment="1">
      <alignment wrapText="1"/>
    </xf>
    <xf numFmtId="0" fontId="3" fillId="0" borderId="89" xfId="0" applyNumberFormat="1" applyFont="1" applyBorder="1" applyAlignment="1">
      <alignment wrapText="1"/>
    </xf>
    <xf numFmtId="0" fontId="9" fillId="0" borderId="90" xfId="0" applyNumberFormat="1" applyFont="1" applyBorder="1" applyAlignment="1">
      <alignment horizontal="left" vertical="top" wrapText="1"/>
    </xf>
    <xf numFmtId="0" fontId="10" fillId="59" borderId="92" xfId="0" applyNumberFormat="1" applyFont="1" applyFill="1" applyBorder="1" applyAlignment="1">
      <alignment horizontal="center" vertical="center" wrapText="1"/>
    </xf>
    <xf numFmtId="0" fontId="9" fillId="60" borderId="93" xfId="0" applyNumberFormat="1" applyFont="1" applyFill="1" applyBorder="1" applyAlignment="1">
      <alignment horizontal="center" vertical="center" wrapText="1"/>
    </xf>
    <xf numFmtId="0" fontId="4" fillId="61" borderId="94" xfId="0" applyNumberFormat="1" applyFont="1" applyFill="1" applyBorder="1" applyAlignment="1">
      <alignment horizontal="left" vertical="top" wrapText="1"/>
    </xf>
    <xf numFmtId="0" fontId="9" fillId="0" borderId="95" xfId="0" applyNumberFormat="1" applyFont="1" applyBorder="1" applyAlignment="1">
      <alignment vertical="top"/>
    </xf>
    <xf numFmtId="0" fontId="9" fillId="0" borderId="96" xfId="0" applyNumberFormat="1" applyFont="1" applyBorder="1" applyAlignment="1">
      <alignment vertical="top" wrapText="1"/>
    </xf>
    <xf numFmtId="0" fontId="10" fillId="62" borderId="97" xfId="0" applyNumberFormat="1" applyFont="1" applyFill="1" applyBorder="1" applyAlignment="1">
      <alignment horizontal="left" vertical="top" wrapText="1"/>
    </xf>
    <xf numFmtId="0" fontId="9" fillId="0" borderId="98" xfId="0" applyNumberFormat="1" applyFont="1" applyBorder="1" applyAlignment="1">
      <alignment vertical="top" wrapText="1"/>
    </xf>
    <xf numFmtId="0" fontId="3" fillId="0" borderId="99" xfId="0" applyNumberFormat="1" applyFont="1" applyBorder="1" applyAlignment="1">
      <alignment horizontal="left" vertical="top" wrapText="1"/>
    </xf>
    <xf numFmtId="0" fontId="14" fillId="0" borderId="100" xfId="0" applyNumberFormat="1" applyFont="1" applyBorder="1" applyAlignment="1">
      <alignment horizontal="center" vertical="top"/>
    </xf>
    <xf numFmtId="0" fontId="9" fillId="0" borderId="101" xfId="0" applyNumberFormat="1" applyFont="1" applyBorder="1" applyAlignment="1">
      <alignment vertical="center" wrapText="1"/>
    </xf>
    <xf numFmtId="14" fontId="13" fillId="63" borderId="102" xfId="0" applyNumberFormat="1" applyFont="1" applyFill="1" applyBorder="1" applyAlignment="1">
      <alignment horizontal="center" vertical="center" wrapText="1"/>
    </xf>
    <xf numFmtId="14" fontId="12" fillId="64" borderId="103" xfId="0" applyNumberFormat="1" applyFont="1" applyFill="1" applyBorder="1" applyAlignment="1">
      <alignment horizontal="center" vertical="center" wrapText="1"/>
    </xf>
    <xf numFmtId="0" fontId="12" fillId="65" borderId="104" xfId="0" applyNumberFormat="1" applyFont="1" applyFill="1" applyBorder="1" applyAlignment="1">
      <alignment horizontal="center" vertical="center" wrapText="1"/>
    </xf>
    <xf numFmtId="0" fontId="12" fillId="66" borderId="105" xfId="0" applyNumberFormat="1" applyFont="1" applyFill="1" applyBorder="1" applyAlignment="1">
      <alignment horizontal="center" vertical="center" wrapText="1"/>
    </xf>
    <xf numFmtId="14" fontId="13" fillId="67" borderId="106" xfId="0" applyNumberFormat="1" applyFont="1" applyFill="1" applyBorder="1" applyAlignment="1">
      <alignment horizontal="center" vertical="center" wrapText="1"/>
    </xf>
    <xf numFmtId="14" fontId="12" fillId="68" borderId="107" xfId="0" applyNumberFormat="1" applyFont="1" applyFill="1" applyBorder="1" applyAlignment="1">
      <alignment horizontal="center" vertical="center" wrapText="1"/>
    </xf>
    <xf numFmtId="0" fontId="16" fillId="69" borderId="108" xfId="0" applyNumberFormat="1" applyFont="1" applyFill="1" applyBorder="1" applyAlignment="1">
      <alignment horizontal="left" vertical="top" wrapText="1"/>
    </xf>
    <xf numFmtId="0" fontId="4" fillId="70" borderId="109" xfId="0" applyNumberFormat="1" applyFont="1" applyFill="1" applyBorder="1" applyAlignment="1">
      <alignment horizontal="center" vertical="top" wrapText="1"/>
    </xf>
    <xf numFmtId="0" fontId="4" fillId="71" borderId="110" xfId="0" applyNumberFormat="1" applyFont="1" applyFill="1" applyBorder="1" applyAlignment="1">
      <alignment horizontal="left" vertical="top" wrapText="1"/>
    </xf>
    <xf numFmtId="0" fontId="3" fillId="0" borderId="111" xfId="0" applyNumberFormat="1" applyFont="1" applyBorder="1" applyAlignment="1">
      <alignment horizontal="left" vertical="center" wrapText="1"/>
    </xf>
    <xf numFmtId="0" fontId="18" fillId="72" borderId="112" xfId="0" applyNumberFormat="1" applyFont="1" applyFill="1" applyBorder="1" applyAlignment="1">
      <alignment horizontal="left" vertical="center" wrapText="1"/>
    </xf>
    <xf numFmtId="14" fontId="16" fillId="73" borderId="113" xfId="0" applyNumberFormat="1" applyFont="1" applyFill="1" applyBorder="1" applyAlignment="1">
      <alignment horizontal="center" vertical="center" wrapText="1"/>
    </xf>
    <xf numFmtId="14" fontId="14" fillId="0" borderId="114" xfId="0" applyNumberFormat="1" applyFont="1" applyBorder="1" applyAlignment="1">
      <alignment horizontal="center" vertical="center" wrapText="1"/>
    </xf>
    <xf numFmtId="14" fontId="15" fillId="0" borderId="115" xfId="0" applyNumberFormat="1" applyFont="1" applyBorder="1" applyAlignment="1">
      <alignment horizontal="center" vertical="center" wrapText="1"/>
    </xf>
    <xf numFmtId="14" fontId="14" fillId="74" borderId="116" xfId="0" applyNumberFormat="1" applyFont="1" applyFill="1" applyBorder="1" applyAlignment="1">
      <alignment horizontal="center" vertical="center" wrapText="1"/>
    </xf>
    <xf numFmtId="14" fontId="16" fillId="75" borderId="117" xfId="0" applyNumberFormat="1" applyFont="1" applyFill="1" applyBorder="1" applyAlignment="1">
      <alignment horizontal="center" vertical="center" wrapText="1"/>
    </xf>
    <xf numFmtId="0" fontId="16" fillId="76" borderId="118" xfId="0" applyNumberFormat="1" applyFont="1" applyFill="1" applyBorder="1" applyAlignment="1">
      <alignment horizontal="center" vertical="center" wrapText="1"/>
    </xf>
    <xf numFmtId="14" fontId="16" fillId="77" borderId="119" xfId="0" applyNumberFormat="1" applyFont="1" applyFill="1" applyBorder="1" applyAlignment="1">
      <alignment horizontal="center" vertical="center" wrapText="1"/>
    </xf>
    <xf numFmtId="14" fontId="14" fillId="0" borderId="120" xfId="0" applyNumberFormat="1" applyFont="1" applyBorder="1" applyAlignment="1">
      <alignment horizontal="center" vertical="center" wrapText="1"/>
    </xf>
    <xf numFmtId="0" fontId="5" fillId="0" borderId="121" xfId="0" applyNumberFormat="1" applyFont="1" applyBorder="1" applyAlignment="1">
      <alignment horizontal="left" vertical="top" wrapText="1"/>
    </xf>
    <xf numFmtId="14" fontId="16" fillId="78" borderId="122" xfId="0" applyNumberFormat="1" applyFont="1" applyFill="1" applyBorder="1" applyAlignment="1">
      <alignment horizontal="center" vertical="center" wrapText="1"/>
    </xf>
    <xf numFmtId="0" fontId="10" fillId="0" borderId="123" xfId="0" applyNumberFormat="1" applyFont="1" applyBorder="1" applyAlignment="1">
      <alignment horizontal="left" vertical="center" wrapText="1"/>
    </xf>
    <xf numFmtId="14" fontId="16" fillId="79" borderId="124" xfId="0" applyNumberFormat="1" applyFont="1" applyFill="1" applyBorder="1" applyAlignment="1">
      <alignment horizontal="left" vertical="center" wrapText="1"/>
    </xf>
    <xf numFmtId="14" fontId="16" fillId="80" borderId="125" xfId="0" applyNumberFormat="1" applyFont="1" applyFill="1" applyBorder="1" applyAlignment="1">
      <alignment horizontal="center" vertical="center" wrapText="1"/>
    </xf>
    <xf numFmtId="176" fontId="16" fillId="81" borderId="126" xfId="0" applyNumberFormat="1" applyFont="1" applyFill="1" applyBorder="1" applyAlignment="1">
      <alignment horizontal="center" vertical="center"/>
    </xf>
    <xf numFmtId="14" fontId="14" fillId="82" borderId="127" xfId="0" applyNumberFormat="1" applyFont="1" applyFill="1" applyBorder="1" applyAlignment="1">
      <alignment horizontal="center" vertical="center"/>
    </xf>
    <xf numFmtId="176" fontId="14" fillId="83" borderId="128" xfId="0" applyNumberFormat="1" applyFont="1" applyFill="1" applyBorder="1" applyAlignment="1">
      <alignment horizontal="center" vertical="center"/>
    </xf>
    <xf numFmtId="0" fontId="9" fillId="0" borderId="129" xfId="0" applyNumberFormat="1" applyFont="1" applyBorder="1" applyAlignment="1">
      <alignment horizontal="left" vertical="top" wrapText="1"/>
    </xf>
    <xf numFmtId="0" fontId="9" fillId="0" borderId="130" xfId="0" applyNumberFormat="1" applyFont="1" applyBorder="1" applyAlignment="1">
      <alignment horizontal="left" vertical="center" wrapText="1"/>
    </xf>
    <xf numFmtId="0" fontId="3" fillId="0" borderId="131" xfId="0" applyNumberFormat="1" applyFont="1" applyBorder="1" applyAlignment="1">
      <alignment vertical="top" wrapText="1"/>
    </xf>
    <xf numFmtId="0" fontId="3" fillId="0" borderId="132" xfId="0" applyNumberFormat="1" applyFont="1" applyBorder="1" applyAlignment="1">
      <alignment horizontal="left" vertical="top" wrapText="1"/>
    </xf>
    <xf numFmtId="0" fontId="3" fillId="0" borderId="133" xfId="0" applyNumberFormat="1" applyFont="1" applyBorder="1" applyAlignment="1">
      <alignment horizontal="center" vertical="top" wrapText="1"/>
    </xf>
    <xf numFmtId="14" fontId="5" fillId="84" borderId="134" xfId="0" applyNumberFormat="1" applyFont="1" applyFill="1" applyBorder="1" applyAlignment="1">
      <alignment horizontal="center" vertical="top"/>
    </xf>
    <xf numFmtId="176" fontId="5" fillId="85" borderId="135" xfId="0" applyNumberFormat="1" applyFont="1" applyFill="1" applyBorder="1" applyAlignment="1">
      <alignment horizontal="center" vertical="top"/>
    </xf>
    <xf numFmtId="0" fontId="10" fillId="86" borderId="136" xfId="0" applyNumberFormat="1" applyFont="1" applyFill="1" applyBorder="1" applyAlignment="1">
      <alignment horizontal="center" vertical="center" wrapText="1"/>
    </xf>
    <xf numFmtId="0" fontId="5" fillId="0" borderId="170" xfId="0" applyNumberFormat="1" applyFont="1" applyBorder="1" applyAlignment="1">
      <alignment horizontal="center" vertical="center" wrapText="1"/>
    </xf>
    <xf numFmtId="0" fontId="2" fillId="111" borderId="181" xfId="0" applyNumberFormat="1" applyFont="1" applyFill="1" applyBorder="1" applyAlignment="1">
      <alignment horizontal="center" vertical="top" wrapText="1"/>
    </xf>
    <xf numFmtId="0" fontId="9" fillId="117" borderId="191" xfId="0" applyNumberFormat="1" applyFont="1" applyFill="1" applyBorder="1" applyAlignment="1">
      <alignment horizontal="center"/>
    </xf>
    <xf numFmtId="0" fontId="14" fillId="0" borderId="205" xfId="0" applyNumberFormat="1" applyFont="1" applyBorder="1" applyAlignment="1">
      <alignment horizontal="left" vertical="center" wrapText="1"/>
    </xf>
    <xf numFmtId="0" fontId="14" fillId="0" borderId="206" xfId="0" applyNumberFormat="1" applyFont="1" applyBorder="1" applyAlignment="1">
      <alignment horizontal="left" vertical="center"/>
    </xf>
    <xf numFmtId="0" fontId="16" fillId="126" borderId="208" xfId="0" applyNumberFormat="1" applyFont="1" applyFill="1" applyBorder="1" applyAlignment="1">
      <alignment horizontal="center" vertical="top" wrapText="1"/>
    </xf>
    <xf numFmtId="0" fontId="14" fillId="0" borderId="209" xfId="0" applyNumberFormat="1" applyFont="1" applyBorder="1" applyAlignment="1">
      <alignment horizontal="center" vertical="top" wrapText="1"/>
    </xf>
    <xf numFmtId="0" fontId="16" fillId="128" borderId="211" xfId="0" applyNumberFormat="1" applyFont="1" applyFill="1" applyBorder="1" applyAlignment="1">
      <alignment horizontal="center" vertical="top" wrapText="1"/>
    </xf>
    <xf numFmtId="0" fontId="14" fillId="0" borderId="213" xfId="0" applyNumberFormat="1" applyFont="1" applyBorder="1" applyAlignment="1">
      <alignment horizontal="center" vertical="center"/>
    </xf>
    <xf numFmtId="0" fontId="9" fillId="0" borderId="224" xfId="0" applyNumberFormat="1" applyFont="1" applyBorder="1" applyAlignment="1">
      <alignment horizontal="center" vertical="center" wrapText="1"/>
    </xf>
    <xf numFmtId="0" fontId="9" fillId="0" borderId="229" xfId="0" applyNumberFormat="1" applyFont="1" applyBorder="1" applyAlignment="1">
      <alignment horizontal="center" vertical="center"/>
    </xf>
    <xf numFmtId="176" fontId="13" fillId="138" borderId="232" xfId="0" applyNumberFormat="1" applyFont="1" applyFill="1" applyBorder="1" applyAlignment="1">
      <alignment horizontal="center" vertical="center" wrapText="1"/>
    </xf>
    <xf numFmtId="0" fontId="14" fillId="0" borderId="233" xfId="0" quotePrefix="1" applyNumberFormat="1" applyFont="1" applyBorder="1" applyAlignment="1">
      <alignment vertical="center"/>
    </xf>
    <xf numFmtId="0" fontId="17" fillId="140" borderId="236" xfId="0" applyNumberFormat="1" applyFont="1" applyFill="1" applyBorder="1" applyAlignment="1">
      <alignment horizontal="center" vertical="center" wrapText="1"/>
    </xf>
    <xf numFmtId="14" fontId="16" fillId="141" borderId="237" xfId="0" applyNumberFormat="1" applyFont="1" applyFill="1" applyBorder="1" applyAlignment="1">
      <alignment horizontal="center" vertical="center" wrapText="1"/>
    </xf>
    <xf numFmtId="14" fontId="14" fillId="142" borderId="238" xfId="0" applyNumberFormat="1" applyFont="1" applyFill="1" applyBorder="1" applyAlignment="1">
      <alignment horizontal="center" vertical="center" wrapText="1"/>
    </xf>
    <xf numFmtId="0" fontId="14" fillId="0" borderId="239" xfId="0" applyNumberFormat="1" applyFont="1" applyBorder="1" applyAlignment="1">
      <alignment vertical="top" wrapText="1"/>
    </xf>
    <xf numFmtId="0" fontId="4" fillId="146" borderId="243" xfId="0" applyNumberFormat="1" applyFont="1" applyFill="1" applyBorder="1" applyAlignment="1">
      <alignment horizontal="left" vertical="top" wrapText="1"/>
    </xf>
    <xf numFmtId="0" fontId="16" fillId="148" borderId="246" xfId="0" applyNumberFormat="1" applyFont="1" applyFill="1" applyBorder="1" applyAlignment="1">
      <alignment horizontal="left" vertical="center" wrapText="1"/>
    </xf>
    <xf numFmtId="14" fontId="27" fillId="149" borderId="247" xfId="0" applyNumberFormat="1" applyFont="1" applyFill="1" applyBorder="1" applyAlignment="1">
      <alignment horizontal="center" vertical="center" wrapText="1"/>
    </xf>
    <xf numFmtId="0" fontId="17" fillId="150" borderId="248" xfId="0" applyNumberFormat="1" applyFont="1" applyFill="1" applyBorder="1" applyAlignment="1">
      <alignment horizontal="center" vertical="center"/>
    </xf>
    <xf numFmtId="14" fontId="15" fillId="153" borderId="251" xfId="0" applyNumberFormat="1" applyFont="1" applyFill="1" applyBorder="1" applyAlignment="1">
      <alignment horizontal="center" vertical="center" wrapText="1"/>
    </xf>
    <xf numFmtId="14" fontId="14" fillId="154" borderId="252" xfId="0" applyNumberFormat="1" applyFont="1" applyFill="1" applyBorder="1" applyAlignment="1">
      <alignment horizontal="center" vertical="center" wrapText="1"/>
    </xf>
    <xf numFmtId="176" fontId="13" fillId="155" borderId="253" xfId="0" applyNumberFormat="1" applyFont="1" applyFill="1" applyBorder="1" applyAlignment="1">
      <alignment horizontal="center" vertical="center" wrapText="1"/>
    </xf>
    <xf numFmtId="0" fontId="14" fillId="0" borderId="254" xfId="0" applyNumberFormat="1" applyFont="1" applyBorder="1" applyAlignment="1">
      <alignment horizontal="left" vertical="top" wrapText="1"/>
    </xf>
    <xf numFmtId="0" fontId="3" fillId="0" borderId="259" xfId="0" applyNumberFormat="1" applyFont="1" applyBorder="1" applyAlignment="1">
      <alignment horizontal="center"/>
    </xf>
    <xf numFmtId="0" fontId="4" fillId="159" borderId="260" xfId="0" applyNumberFormat="1" applyFont="1" applyFill="1" applyBorder="1" applyAlignment="1">
      <alignment horizontal="left" vertical="top" wrapText="1"/>
    </xf>
    <xf numFmtId="0" fontId="3" fillId="0" borderId="261" xfId="0" applyNumberFormat="1" applyFont="1" applyBorder="1" applyAlignment="1">
      <alignment horizontal="left" vertical="top" wrapText="1"/>
    </xf>
    <xf numFmtId="14" fontId="4" fillId="160" borderId="262" xfId="0" applyNumberFormat="1" applyFont="1" applyFill="1" applyBorder="1" applyAlignment="1">
      <alignment horizontal="center" vertical="center" wrapText="1"/>
    </xf>
    <xf numFmtId="0" fontId="5" fillId="0" borderId="263" xfId="0" applyNumberFormat="1" applyFont="1" applyBorder="1" applyAlignment="1">
      <alignment vertical="top" wrapText="1"/>
    </xf>
    <xf numFmtId="14" fontId="3" fillId="0" borderId="264" xfId="0" applyNumberFormat="1" applyFont="1" applyBorder="1" applyAlignment="1">
      <alignment horizontal="left" vertical="center" wrapText="1"/>
    </xf>
    <xf numFmtId="177" fontId="3" fillId="0" borderId="265" xfId="0" applyNumberFormat="1" applyFont="1" applyBorder="1" applyAlignment="1">
      <alignment horizontal="left" vertical="center" wrapText="1"/>
    </xf>
    <xf numFmtId="177" fontId="18" fillId="161" borderId="266" xfId="0" applyNumberFormat="1" applyFont="1" applyFill="1" applyBorder="1" applyAlignment="1">
      <alignment horizontal="left" vertical="center" wrapText="1"/>
    </xf>
    <xf numFmtId="0" fontId="28" fillId="0" borderId="267" xfId="0" applyNumberFormat="1" applyFont="1" applyBorder="1" applyAlignment="1">
      <alignment wrapText="1"/>
    </xf>
    <xf numFmtId="14" fontId="5" fillId="162" borderId="268" xfId="0" applyNumberFormat="1" applyFont="1" applyFill="1" applyBorder="1" applyAlignment="1">
      <alignment horizontal="center" vertical="center"/>
    </xf>
    <xf numFmtId="14" fontId="4" fillId="163" borderId="269" xfId="0" applyNumberFormat="1" applyFont="1" applyFill="1" applyBorder="1" applyAlignment="1">
      <alignment horizontal="center" vertical="center" wrapText="1"/>
    </xf>
    <xf numFmtId="14" fontId="4" fillId="165" borderId="271" xfId="0" applyNumberFormat="1" applyFont="1" applyFill="1" applyBorder="1" applyAlignment="1">
      <alignment horizontal="center" vertical="center"/>
    </xf>
    <xf numFmtId="14" fontId="5" fillId="166" borderId="275" xfId="0" applyNumberFormat="1" applyFont="1" applyFill="1" applyBorder="1" applyAlignment="1">
      <alignment horizontal="center" vertical="center"/>
    </xf>
    <xf numFmtId="0" fontId="4" fillId="167" borderId="276" xfId="0" applyNumberFormat="1" applyFont="1" applyFill="1" applyBorder="1" applyAlignment="1">
      <alignment horizontal="center" vertical="top" wrapText="1"/>
    </xf>
    <xf numFmtId="0" fontId="4" fillId="168" borderId="277" xfId="0" applyNumberFormat="1" applyFont="1" applyFill="1" applyBorder="1" applyAlignment="1">
      <alignment vertical="top" wrapText="1"/>
    </xf>
    <xf numFmtId="0" fontId="16" fillId="169" borderId="278" xfId="0" applyNumberFormat="1" applyFont="1" applyFill="1" applyBorder="1" applyAlignment="1">
      <alignment horizontal="left" vertical="top" wrapText="1"/>
    </xf>
    <xf numFmtId="14" fontId="16" fillId="170" borderId="279" xfId="0" applyNumberFormat="1" applyFont="1" applyFill="1" applyBorder="1" applyAlignment="1">
      <alignment horizontal="center" vertical="center" wrapText="1"/>
    </xf>
    <xf numFmtId="14" fontId="4" fillId="171" borderId="280" xfId="0" applyNumberFormat="1" applyFont="1" applyFill="1" applyBorder="1" applyAlignment="1">
      <alignment horizontal="center" vertical="center" wrapText="1"/>
    </xf>
    <xf numFmtId="14" fontId="4" fillId="173" borderId="282" xfId="0" applyNumberFormat="1" applyFont="1" applyFill="1" applyBorder="1" applyAlignment="1">
      <alignment horizontal="left" vertical="center" wrapText="1"/>
    </xf>
    <xf numFmtId="0" fontId="4" fillId="174" borderId="283" xfId="0" applyNumberFormat="1" applyFont="1" applyFill="1" applyBorder="1" applyAlignment="1">
      <alignment horizontal="left" vertical="top" wrapText="1"/>
    </xf>
    <xf numFmtId="0" fontId="4" fillId="175" borderId="284" xfId="0" applyNumberFormat="1" applyFont="1" applyFill="1" applyBorder="1" applyAlignment="1">
      <alignment horizontal="left" vertical="top" wrapText="1"/>
    </xf>
    <xf numFmtId="0" fontId="3" fillId="0" borderId="285" xfId="0" applyNumberFormat="1" applyFont="1" applyBorder="1" applyAlignment="1">
      <alignment vertical="top"/>
    </xf>
    <xf numFmtId="0" fontId="2" fillId="0" borderId="290" xfId="0" applyNumberFormat="1" applyFont="1" applyBorder="1" applyAlignment="1">
      <alignment horizontal="center" vertical="top" wrapText="1"/>
    </xf>
    <xf numFmtId="0" fontId="3" fillId="0" borderId="291" xfId="0" applyNumberFormat="1" applyFont="1" applyBorder="1" applyAlignment="1">
      <alignment horizontal="center" vertical="top"/>
    </xf>
    <xf numFmtId="0" fontId="3" fillId="0" borderId="292" xfId="0" applyNumberFormat="1" applyFont="1" applyBorder="1" applyAlignment="1">
      <alignment horizontal="center" vertical="top"/>
    </xf>
    <xf numFmtId="0" fontId="3" fillId="0" borderId="293" xfId="0" applyNumberFormat="1" applyFont="1" applyBorder="1" applyAlignment="1">
      <alignment horizontal="center" vertical="top"/>
    </xf>
    <xf numFmtId="0" fontId="3" fillId="0" borderId="295" xfId="0" applyNumberFormat="1" applyFont="1" applyBorder="1" applyAlignment="1">
      <alignment horizontal="left" vertical="top"/>
    </xf>
    <xf numFmtId="0" fontId="9" fillId="0" borderId="296" xfId="0" applyNumberFormat="1" applyFont="1" applyBorder="1" applyAlignment="1">
      <alignment vertical="top"/>
    </xf>
    <xf numFmtId="0" fontId="2" fillId="176" borderId="297" xfId="0" applyNumberFormat="1" applyFont="1" applyFill="1" applyBorder="1" applyAlignment="1">
      <alignment horizontal="left" vertical="top" wrapText="1"/>
    </xf>
    <xf numFmtId="0" fontId="16" fillId="177" borderId="298" xfId="0" applyNumberFormat="1" applyFont="1" applyFill="1" applyBorder="1" applyAlignment="1">
      <alignment horizontal="left" vertical="top" wrapText="1"/>
    </xf>
    <xf numFmtId="0" fontId="14" fillId="0" borderId="299" xfId="0" applyNumberFormat="1" applyFont="1" applyBorder="1" applyAlignment="1">
      <alignment horizontal="left" vertical="top" wrapText="1"/>
    </xf>
    <xf numFmtId="0" fontId="9" fillId="0" borderId="305" xfId="0" applyNumberFormat="1" applyFont="1" applyBorder="1" applyAlignment="1">
      <alignment vertical="top" wrapText="1"/>
    </xf>
    <xf numFmtId="0" fontId="9" fillId="0" borderId="309" xfId="0" applyNumberFormat="1" applyFont="1" applyBorder="1" applyAlignment="1">
      <alignment horizontal="left"/>
    </xf>
    <xf numFmtId="0" fontId="2" fillId="180" borderId="310" xfId="0" applyNumberFormat="1" applyFont="1" applyFill="1" applyBorder="1" applyAlignment="1">
      <alignment horizontal="left" vertical="top" wrapText="1"/>
    </xf>
    <xf numFmtId="0" fontId="16" fillId="181" borderId="311" xfId="0" applyNumberFormat="1" applyFont="1" applyFill="1" applyBorder="1" applyAlignment="1">
      <alignment horizontal="left" vertical="top" wrapText="1"/>
    </xf>
    <xf numFmtId="0" fontId="14" fillId="0" borderId="312" xfId="0" applyNumberFormat="1" applyFont="1" applyBorder="1" applyAlignment="1">
      <alignment horizontal="left" vertical="top" wrapText="1"/>
    </xf>
    <xf numFmtId="0" fontId="16" fillId="182" borderId="313" xfId="0" applyNumberFormat="1" applyFont="1" applyFill="1" applyBorder="1" applyAlignment="1">
      <alignment horizontal="left" vertical="center" wrapText="1"/>
    </xf>
    <xf numFmtId="0" fontId="14" fillId="0" borderId="314" xfId="0" applyNumberFormat="1" applyFont="1" applyBorder="1" applyAlignment="1">
      <alignment horizontal="left" vertical="center" wrapText="1"/>
    </xf>
    <xf numFmtId="0" fontId="17" fillId="183" borderId="315" xfId="0" applyNumberFormat="1" applyFont="1" applyFill="1" applyBorder="1" applyAlignment="1">
      <alignment horizontal="center" vertical="center" wrapText="1"/>
    </xf>
    <xf numFmtId="0" fontId="15" fillId="0" borderId="316" xfId="0" applyNumberFormat="1" applyFont="1" applyBorder="1" applyAlignment="1">
      <alignment horizontal="center" vertical="center" wrapText="1"/>
    </xf>
    <xf numFmtId="0" fontId="14" fillId="0" borderId="317" xfId="0" applyNumberFormat="1" applyFont="1" applyBorder="1" applyAlignment="1">
      <alignment horizontal="left" vertical="center" wrapText="1"/>
    </xf>
    <xf numFmtId="0" fontId="14" fillId="184" borderId="318" xfId="0" applyNumberFormat="1" applyFont="1" applyFill="1" applyBorder="1" applyAlignment="1">
      <alignment horizontal="left" vertical="top" wrapText="1"/>
    </xf>
    <xf numFmtId="0" fontId="14" fillId="0" borderId="319" xfId="0" applyNumberFormat="1" applyFont="1" applyBorder="1" applyAlignment="1">
      <alignment vertical="center" wrapText="1"/>
    </xf>
    <xf numFmtId="0" fontId="14" fillId="0" borderId="321" xfId="0" applyNumberFormat="1" applyFont="1" applyBorder="1" applyAlignment="1">
      <alignment horizontal="left" vertical="center" wrapText="1"/>
    </xf>
    <xf numFmtId="0" fontId="16" fillId="185" borderId="322" xfId="0" applyNumberFormat="1" applyFont="1" applyFill="1" applyBorder="1" applyAlignment="1">
      <alignment horizontal="left" vertical="center" wrapText="1"/>
    </xf>
    <xf numFmtId="0" fontId="2" fillId="186" borderId="323" xfId="0" applyNumberFormat="1" applyFont="1" applyFill="1" applyBorder="1" applyAlignment="1">
      <alignment horizontal="left" vertical="top" wrapText="1"/>
    </xf>
    <xf numFmtId="0" fontId="2" fillId="187" borderId="324" xfId="0" applyNumberFormat="1" applyFont="1" applyFill="1" applyBorder="1" applyAlignment="1">
      <alignment horizontal="left" vertical="top" wrapText="1"/>
    </xf>
    <xf numFmtId="0" fontId="16" fillId="188" borderId="325" xfId="0" applyNumberFormat="1" applyFont="1" applyFill="1" applyBorder="1" applyAlignment="1">
      <alignment horizontal="left" vertical="top" wrapText="1"/>
    </xf>
    <xf numFmtId="0" fontId="14" fillId="0" borderId="326" xfId="0" applyNumberFormat="1" applyFont="1" applyBorder="1" applyAlignment="1">
      <alignment horizontal="left" vertical="top" wrapText="1"/>
    </xf>
    <xf numFmtId="0" fontId="14" fillId="0" borderId="327" xfId="0" applyNumberFormat="1" applyFont="1" applyBorder="1" applyAlignment="1">
      <alignment vertical="top"/>
    </xf>
    <xf numFmtId="0" fontId="16" fillId="189" borderId="328" xfId="0" applyNumberFormat="1" applyFont="1" applyFill="1" applyBorder="1" applyAlignment="1">
      <alignment horizontal="left" vertical="top" wrapText="1"/>
    </xf>
    <xf numFmtId="14" fontId="16" fillId="190" borderId="329" xfId="0" applyNumberFormat="1" applyFont="1" applyFill="1" applyBorder="1" applyAlignment="1">
      <alignment horizontal="center" vertical="center" wrapText="1"/>
    </xf>
    <xf numFmtId="0" fontId="14" fillId="0" borderId="330" xfId="0" applyNumberFormat="1" applyFont="1" applyBorder="1" applyAlignment="1">
      <alignment horizontal="left" vertical="top" wrapText="1"/>
    </xf>
    <xf numFmtId="176" fontId="16" fillId="192" borderId="333" xfId="0" applyNumberFormat="1" applyFont="1" applyFill="1" applyBorder="1" applyAlignment="1">
      <alignment horizontal="center" vertical="center"/>
    </xf>
    <xf numFmtId="14" fontId="14" fillId="193" borderId="335" xfId="0" applyNumberFormat="1" applyFont="1" applyFill="1" applyBorder="1" applyAlignment="1">
      <alignment horizontal="center" vertical="center"/>
    </xf>
    <xf numFmtId="14" fontId="16" fillId="194" borderId="336" xfId="0" applyNumberFormat="1" applyFont="1" applyFill="1" applyBorder="1" applyAlignment="1">
      <alignment horizontal="center" vertical="center" wrapText="1"/>
    </xf>
    <xf numFmtId="14" fontId="16" fillId="195" borderId="337" xfId="0" applyNumberFormat="1" applyFont="1" applyFill="1" applyBorder="1" applyAlignment="1">
      <alignment horizontal="center" vertical="center" wrapText="1"/>
    </xf>
    <xf numFmtId="0" fontId="14" fillId="0" borderId="338" xfId="0" applyNumberFormat="1" applyFont="1" applyBorder="1" applyAlignment="1">
      <alignment horizontal="left" vertical="center"/>
    </xf>
    <xf numFmtId="0" fontId="14" fillId="0" borderId="347" xfId="0" applyNumberFormat="1" applyFont="1" applyBorder="1" applyAlignment="1">
      <alignment vertical="top" wrapText="1"/>
    </xf>
    <xf numFmtId="0" fontId="16" fillId="198" borderId="348" xfId="0" applyNumberFormat="1" applyFont="1" applyFill="1" applyBorder="1" applyAlignment="1">
      <alignment horizontal="left" vertical="top" wrapText="1"/>
    </xf>
    <xf numFmtId="0" fontId="14" fillId="0" borderId="352" xfId="0" applyNumberFormat="1" applyFont="1" applyBorder="1" applyAlignment="1">
      <alignment horizontal="left" vertical="top" wrapText="1"/>
    </xf>
    <xf numFmtId="0" fontId="14" fillId="0" borderId="353" xfId="0" applyNumberFormat="1" applyFont="1" applyBorder="1" applyAlignment="1">
      <alignment horizontal="center" vertical="top" wrapText="1"/>
    </xf>
    <xf numFmtId="0" fontId="14" fillId="0" borderId="354" xfId="0" applyNumberFormat="1" applyFont="1" applyBorder="1" applyAlignment="1">
      <alignment vertical="top"/>
    </xf>
    <xf numFmtId="0" fontId="14" fillId="0" borderId="355" xfId="0" applyNumberFormat="1" applyFont="1" applyBorder="1" applyAlignment="1">
      <alignment horizontal="left" vertical="top"/>
    </xf>
    <xf numFmtId="0" fontId="14" fillId="0" borderId="356" xfId="0" applyNumberFormat="1" applyFont="1" applyBorder="1" applyAlignment="1">
      <alignment horizontal="left" vertical="top" wrapText="1"/>
    </xf>
    <xf numFmtId="0" fontId="19" fillId="0" borderId="140" xfId="0" applyNumberFormat="1" applyFont="1" applyBorder="1" applyAlignment="1">
      <alignment horizontal="center" vertical="center" wrapText="1"/>
    </xf>
    <xf numFmtId="0" fontId="2" fillId="23" borderId="33"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0" fontId="22" fillId="100" borderId="161" xfId="0" applyNumberFormat="1" applyFont="1" applyFill="1" applyBorder="1" applyAlignment="1">
      <alignment horizontal="center" vertical="center" wrapText="1"/>
    </xf>
    <xf numFmtId="0" fontId="2" fillId="101" borderId="162" xfId="0" applyNumberFormat="1" applyFont="1" applyFill="1" applyBorder="1" applyAlignment="1">
      <alignment horizontal="center" vertical="center"/>
    </xf>
    <xf numFmtId="0" fontId="2" fillId="102" borderId="163" xfId="0" applyNumberFormat="1" applyFont="1" applyFill="1" applyBorder="1" applyAlignment="1">
      <alignment horizontal="center" vertical="center"/>
    </xf>
    <xf numFmtId="0" fontId="23" fillId="0" borderId="164" xfId="0" applyNumberFormat="1" applyFont="1" applyBorder="1" applyAlignment="1">
      <alignment horizontal="center" vertical="center" wrapText="1"/>
    </xf>
    <xf numFmtId="0" fontId="5" fillId="0" borderId="139" xfId="0" applyNumberFormat="1" applyFont="1" applyBorder="1" applyAlignment="1">
      <alignment horizontal="center" vertical="center"/>
    </xf>
    <xf numFmtId="0" fontId="23" fillId="199" borderId="357" xfId="0" applyNumberFormat="1" applyFont="1" applyFill="1" applyBorder="1" applyAlignment="1">
      <alignment horizontal="center" vertical="center" wrapText="1"/>
    </xf>
    <xf numFmtId="0" fontId="2" fillId="97" borderId="158" xfId="0" applyNumberFormat="1" applyFont="1" applyFill="1" applyBorder="1" applyAlignment="1">
      <alignment horizontal="center" vertical="center" wrapText="1"/>
    </xf>
    <xf numFmtId="0" fontId="2" fillId="98" borderId="159" xfId="0" applyNumberFormat="1" applyFont="1" applyFill="1" applyBorder="1" applyAlignment="1">
      <alignment horizontal="center" vertical="center" wrapText="1"/>
    </xf>
    <xf numFmtId="0" fontId="2" fillId="99" borderId="160" xfId="0" applyNumberFormat="1" applyFont="1" applyFill="1" applyBorder="1" applyAlignment="1">
      <alignment horizontal="center" vertical="center" wrapText="1"/>
    </xf>
    <xf numFmtId="0" fontId="2" fillId="21" borderId="30" xfId="0" applyNumberFormat="1" applyFont="1" applyFill="1" applyBorder="1" applyAlignment="1">
      <alignment horizontal="center" vertical="center" wrapText="1"/>
    </xf>
    <xf numFmtId="0" fontId="9" fillId="60" borderId="93" xfId="0" applyNumberFormat="1" applyFont="1" applyFill="1" applyBorder="1" applyAlignment="1">
      <alignment horizontal="center" vertical="center" wrapText="1"/>
    </xf>
    <xf numFmtId="0" fontId="9" fillId="115" borderId="189" xfId="0" applyNumberFormat="1" applyFont="1" applyFill="1" applyBorder="1" applyAlignment="1">
      <alignment horizontal="left" vertical="center" wrapText="1"/>
    </xf>
    <xf numFmtId="0" fontId="5" fillId="94" borderId="155" xfId="0" applyNumberFormat="1" applyFont="1" applyFill="1" applyBorder="1" applyAlignment="1">
      <alignment horizontal="center" vertical="center" wrapText="1"/>
    </xf>
    <xf numFmtId="0" fontId="10" fillId="59" borderId="92" xfId="0" applyNumberFormat="1" applyFont="1" applyFill="1" applyBorder="1" applyAlignment="1">
      <alignment horizontal="center" vertical="center" wrapText="1"/>
    </xf>
    <xf numFmtId="0" fontId="5" fillId="95" borderId="156" xfId="0" applyNumberFormat="1" applyFont="1" applyFill="1" applyBorder="1" applyAlignment="1">
      <alignment horizontal="center" vertical="center"/>
    </xf>
    <xf numFmtId="0" fontId="19" fillId="96" borderId="157" xfId="0" applyNumberFormat="1" applyFont="1" applyFill="1" applyBorder="1" applyAlignment="1">
      <alignment horizontal="center" vertical="center" wrapText="1"/>
    </xf>
    <xf numFmtId="0" fontId="9" fillId="0" borderId="49" xfId="0" applyNumberFormat="1" applyFont="1" applyBorder="1" applyAlignment="1">
      <alignment horizontal="center"/>
    </xf>
    <xf numFmtId="0" fontId="9" fillId="0" borderId="220" xfId="0" applyNumberFormat="1" applyFont="1" applyBorder="1" applyAlignment="1">
      <alignment horizontal="center" vertical="center" wrapText="1"/>
    </xf>
    <xf numFmtId="0" fontId="10" fillId="112" borderId="186" xfId="0" applyNumberFormat="1" applyFont="1" applyFill="1" applyBorder="1" applyAlignment="1">
      <alignment horizontal="left" vertical="center" wrapText="1"/>
    </xf>
    <xf numFmtId="0" fontId="10" fillId="32" borderId="42" xfId="0" applyNumberFormat="1" applyFont="1" applyFill="1" applyBorder="1" applyAlignment="1">
      <alignment horizontal="left" vertical="center" wrapText="1"/>
    </xf>
    <xf numFmtId="0" fontId="10" fillId="86" borderId="136" xfId="0" applyNumberFormat="1" applyFont="1" applyFill="1" applyBorder="1" applyAlignment="1">
      <alignment horizontal="center" vertical="center" wrapText="1"/>
    </xf>
    <xf numFmtId="0" fontId="10" fillId="134" borderId="218" xfId="0" applyNumberFormat="1" applyFont="1" applyFill="1" applyBorder="1" applyAlignment="1">
      <alignment horizontal="left" vertical="center" wrapText="1"/>
    </xf>
    <xf numFmtId="0" fontId="5" fillId="136" borderId="226" xfId="0" applyNumberFormat="1" applyFont="1" applyFill="1" applyBorder="1" applyAlignment="1">
      <alignment horizontal="center" vertical="center" wrapText="1"/>
    </xf>
    <xf numFmtId="0" fontId="10" fillId="135" borderId="219" xfId="0" applyNumberFormat="1" applyFont="1" applyFill="1" applyBorder="1" applyAlignment="1">
      <alignment horizontal="left" vertical="center" wrapText="1"/>
    </xf>
    <xf numFmtId="0" fontId="9" fillId="0" borderId="221" xfId="0" applyNumberFormat="1" applyFont="1" applyBorder="1" applyAlignment="1">
      <alignment horizontal="left"/>
    </xf>
    <xf numFmtId="0" fontId="9" fillId="0" borderId="59" xfId="0" applyNumberFormat="1" applyFont="1" applyBorder="1" applyAlignment="1">
      <alignment horizontal="left" wrapText="1"/>
    </xf>
    <xf numFmtId="0" fontId="9" fillId="0" borderId="222" xfId="0" applyNumberFormat="1" applyFont="1" applyBorder="1" applyAlignment="1">
      <alignment horizontal="left" vertical="center" wrapText="1"/>
    </xf>
    <xf numFmtId="0" fontId="9" fillId="0" borderId="223" xfId="0" applyNumberFormat="1" applyFont="1" applyBorder="1" applyAlignment="1">
      <alignment horizontal="center" vertical="center" wrapText="1"/>
    </xf>
    <xf numFmtId="0" fontId="9" fillId="0" borderId="224" xfId="0" applyNumberFormat="1" applyFont="1" applyBorder="1" applyAlignment="1">
      <alignment horizontal="center" vertical="center" wrapText="1"/>
    </xf>
    <xf numFmtId="0" fontId="9" fillId="0" borderId="225" xfId="0" applyNumberFormat="1" applyFont="1" applyBorder="1" applyAlignment="1">
      <alignment horizontal="center" vertical="center" wrapText="1"/>
    </xf>
    <xf numFmtId="0" fontId="9" fillId="0" borderId="152" xfId="0" applyNumberFormat="1" applyFont="1" applyBorder="1" applyAlignment="1">
      <alignment horizontal="center"/>
    </xf>
    <xf numFmtId="0" fontId="9" fillId="0" borderId="153" xfId="0" applyNumberFormat="1" applyFont="1" applyBorder="1" applyAlignment="1">
      <alignment horizontal="center"/>
    </xf>
    <xf numFmtId="0" fontId="9" fillId="0" borderId="154" xfId="0" applyNumberFormat="1" applyFont="1" applyBorder="1" applyAlignment="1">
      <alignment horizontal="center"/>
    </xf>
    <xf numFmtId="0" fontId="9" fillId="0" borderId="228" xfId="0" applyNumberFormat="1" applyFont="1" applyBorder="1" applyAlignment="1">
      <alignment horizontal="center" vertical="center"/>
    </xf>
    <xf numFmtId="0" fontId="9" fillId="0" borderId="227" xfId="0" applyNumberFormat="1" applyFont="1" applyBorder="1" applyAlignment="1">
      <alignment horizontal="center" vertical="center"/>
    </xf>
    <xf numFmtId="0" fontId="9" fillId="0" borderId="229" xfId="0" applyNumberFormat="1" applyFont="1" applyBorder="1" applyAlignment="1">
      <alignment horizontal="center" vertical="center"/>
    </xf>
    <xf numFmtId="0" fontId="9" fillId="0" borderId="148" xfId="0" applyNumberFormat="1" applyFont="1" applyBorder="1" applyAlignment="1">
      <alignment horizontal="center" vertical="center"/>
    </xf>
    <xf numFmtId="0" fontId="5" fillId="157" borderId="257" xfId="0" applyNumberFormat="1" applyFont="1" applyFill="1" applyBorder="1" applyAlignment="1">
      <alignment horizontal="center" vertical="center" wrapText="1"/>
    </xf>
    <xf numFmtId="0" fontId="10" fillId="91" borderId="149" xfId="0" applyNumberFormat="1" applyFont="1" applyFill="1" applyBorder="1" applyAlignment="1">
      <alignment horizontal="center" vertical="center" wrapText="1"/>
    </xf>
    <xf numFmtId="0" fontId="10" fillId="92" borderId="150" xfId="0" applyNumberFormat="1" applyFont="1" applyFill="1" applyBorder="1" applyAlignment="1">
      <alignment horizontal="center" vertical="center" wrapText="1"/>
    </xf>
    <xf numFmtId="0" fontId="10" fillId="93" borderId="151" xfId="0" applyNumberFormat="1" applyFont="1" applyFill="1" applyBorder="1" applyAlignment="1">
      <alignment horizontal="center" vertical="center" wrapText="1"/>
    </xf>
    <xf numFmtId="0" fontId="5" fillId="158" borderId="258" xfId="0" applyNumberFormat="1" applyFont="1" applyFill="1" applyBorder="1" applyAlignment="1">
      <alignment horizontal="center" vertical="center"/>
    </xf>
    <xf numFmtId="0" fontId="9" fillId="0" borderId="307" xfId="0" applyNumberFormat="1" applyFont="1" applyBorder="1" applyAlignment="1">
      <alignment horizontal="left" vertical="center" wrapText="1"/>
    </xf>
    <xf numFmtId="0" fontId="9" fillId="0" borderId="308" xfId="0" applyNumberFormat="1" applyFont="1" applyBorder="1" applyAlignment="1">
      <alignment horizontal="left" vertical="center" wrapText="1"/>
    </xf>
    <xf numFmtId="0" fontId="11" fillId="0" borderId="144" xfId="0" applyNumberFormat="1" applyFont="1" applyBorder="1" applyAlignment="1">
      <alignment horizontal="center" vertical="center" wrapText="1"/>
    </xf>
    <xf numFmtId="0" fontId="21" fillId="0" borderId="145" xfId="0" applyNumberFormat="1" applyFont="1" applyBorder="1" applyAlignment="1">
      <alignment horizontal="center" vertical="center" wrapText="1"/>
    </xf>
    <xf numFmtId="0" fontId="21" fillId="0" borderId="146" xfId="0" applyNumberFormat="1" applyFont="1" applyBorder="1" applyAlignment="1">
      <alignment horizontal="center" vertical="center" wrapText="1"/>
    </xf>
    <xf numFmtId="0" fontId="21" fillId="0" borderId="147" xfId="0" applyNumberFormat="1" applyFont="1" applyBorder="1" applyAlignment="1">
      <alignment horizontal="center" vertical="center" wrapText="1"/>
    </xf>
    <xf numFmtId="0" fontId="9" fillId="0" borderId="231" xfId="0" applyNumberFormat="1" applyFont="1" applyBorder="1" applyAlignment="1">
      <alignment horizontal="center" wrapText="1"/>
    </xf>
    <xf numFmtId="0" fontId="5" fillId="87" borderId="137" xfId="0" applyNumberFormat="1" applyFont="1" applyFill="1" applyBorder="1" applyAlignment="1">
      <alignment horizontal="center" vertical="center" wrapText="1"/>
    </xf>
    <xf numFmtId="0" fontId="20" fillId="88" borderId="141" xfId="0" applyNumberFormat="1" applyFont="1" applyFill="1" applyBorder="1" applyAlignment="1">
      <alignment horizontal="center" vertical="center" wrapText="1"/>
    </xf>
    <xf numFmtId="0" fontId="20" fillId="89" borderId="142" xfId="0" applyNumberFormat="1" applyFont="1" applyFill="1" applyBorder="1" applyAlignment="1">
      <alignment horizontal="center" vertical="center"/>
    </xf>
    <xf numFmtId="0" fontId="20" fillId="90" borderId="143" xfId="0" applyNumberFormat="1" applyFont="1" applyFill="1" applyBorder="1" applyAlignment="1">
      <alignment horizontal="center" vertical="center"/>
    </xf>
    <xf numFmtId="0" fontId="5" fillId="0" borderId="138" xfId="0" applyNumberFormat="1" applyFont="1" applyBorder="1" applyAlignment="1">
      <alignment horizontal="center" vertical="center" wrapText="1"/>
    </xf>
    <xf numFmtId="0" fontId="10" fillId="179" borderId="306" xfId="0" applyNumberFormat="1" applyFont="1" applyFill="1" applyBorder="1" applyAlignment="1">
      <alignment horizontal="left" vertical="center" wrapText="1"/>
    </xf>
    <xf numFmtId="0" fontId="5" fillId="0" borderId="170" xfId="0" applyNumberFormat="1" applyFont="1" applyBorder="1" applyAlignment="1">
      <alignment horizontal="center" vertical="center" wrapText="1"/>
    </xf>
    <xf numFmtId="0" fontId="5" fillId="0" borderId="179" xfId="0" applyNumberFormat="1" applyFont="1" applyBorder="1" applyAlignment="1">
      <alignment horizontal="center" vertical="center" wrapText="1"/>
    </xf>
    <xf numFmtId="0" fontId="5" fillId="0" borderId="180" xfId="0" applyNumberFormat="1" applyFont="1" applyBorder="1" applyAlignment="1">
      <alignment horizontal="center" vertical="center" wrapText="1"/>
    </xf>
    <xf numFmtId="0" fontId="4" fillId="40" borderId="58" xfId="0" applyNumberFormat="1" applyFont="1" applyFill="1" applyBorder="1" applyAlignment="1">
      <alignment horizontal="center" vertical="top" wrapText="1"/>
    </xf>
    <xf numFmtId="0" fontId="4" fillId="104" borderId="167" xfId="0" applyNumberFormat="1" applyFont="1" applyFill="1" applyBorder="1" applyAlignment="1">
      <alignment horizontal="center" vertical="center" wrapText="1"/>
    </xf>
    <xf numFmtId="0" fontId="4" fillId="34" borderId="47" xfId="0" applyNumberFormat="1" applyFont="1" applyFill="1" applyBorder="1" applyAlignment="1">
      <alignment horizontal="center" vertical="top" wrapText="1"/>
    </xf>
    <xf numFmtId="0" fontId="4" fillId="106" borderId="169" xfId="0" applyNumberFormat="1" applyFont="1" applyFill="1" applyBorder="1" applyAlignment="1">
      <alignment horizontal="center" vertical="center" wrapText="1"/>
    </xf>
    <xf numFmtId="0" fontId="4" fillId="107" borderId="174" xfId="0" applyNumberFormat="1" applyFont="1" applyFill="1" applyBorder="1" applyAlignment="1">
      <alignment horizontal="center" vertical="center" wrapText="1"/>
    </xf>
    <xf numFmtId="0" fontId="4" fillId="108" borderId="175" xfId="0" applyNumberFormat="1" applyFont="1" applyFill="1" applyBorder="1" applyAlignment="1">
      <alignment horizontal="center" vertical="center" wrapText="1"/>
    </xf>
    <xf numFmtId="0" fontId="4" fillId="109" borderId="176" xfId="0" applyNumberFormat="1" applyFont="1" applyFill="1" applyBorder="1" applyAlignment="1">
      <alignment horizontal="center" vertical="center" wrapText="1"/>
    </xf>
    <xf numFmtId="0" fontId="4" fillId="110" borderId="177" xfId="0" applyNumberFormat="1" applyFont="1" applyFill="1" applyBorder="1" applyAlignment="1">
      <alignment horizontal="center" vertical="center" wrapText="1"/>
    </xf>
    <xf numFmtId="0" fontId="4" fillId="137" borderId="230" xfId="0" applyNumberFormat="1" applyFont="1" applyFill="1" applyBorder="1" applyAlignment="1">
      <alignment horizontal="center" vertical="center" wrapText="1"/>
    </xf>
    <xf numFmtId="0" fontId="5" fillId="0" borderId="178" xfId="0" applyNumberFormat="1" applyFont="1" applyBorder="1" applyAlignment="1">
      <alignment horizontal="center" vertical="center" wrapText="1"/>
    </xf>
    <xf numFmtId="0" fontId="23" fillId="131" borderId="215" xfId="0" applyNumberFormat="1" applyFont="1" applyFill="1" applyBorder="1" applyAlignment="1">
      <alignment horizontal="center" vertical="center" wrapText="1"/>
    </xf>
    <xf numFmtId="0" fontId="5" fillId="132" borderId="216" xfId="0" applyNumberFormat="1" applyFont="1" applyFill="1" applyBorder="1" applyAlignment="1">
      <alignment horizontal="center" vertical="center"/>
    </xf>
    <xf numFmtId="0" fontId="19" fillId="133" borderId="217" xfId="0" applyNumberFormat="1" applyFont="1" applyFill="1" applyBorder="1" applyAlignment="1">
      <alignment horizontal="center" vertical="center" wrapText="1"/>
    </xf>
    <xf numFmtId="0" fontId="3" fillId="0" borderId="111" xfId="0" applyNumberFormat="1" applyFont="1" applyBorder="1" applyAlignment="1">
      <alignment horizontal="left" vertical="center" wrapText="1"/>
    </xf>
    <xf numFmtId="0" fontId="3" fillId="0" borderId="244" xfId="0" applyNumberFormat="1" applyFont="1" applyBorder="1" applyAlignment="1">
      <alignment horizontal="left" vertical="center"/>
    </xf>
    <xf numFmtId="0" fontId="4" fillId="42" borderId="61" xfId="0" applyNumberFormat="1" applyFont="1" applyFill="1" applyBorder="1" applyAlignment="1">
      <alignment horizontal="center" vertical="top" wrapText="1"/>
    </xf>
    <xf numFmtId="0" fontId="4" fillId="167" borderId="276" xfId="0" applyNumberFormat="1" applyFont="1" applyFill="1" applyBorder="1" applyAlignment="1">
      <alignment horizontal="center" vertical="top" wrapText="1"/>
    </xf>
    <xf numFmtId="0" fontId="4" fillId="164" borderId="270" xfId="0" applyNumberFormat="1" applyFont="1" applyFill="1" applyBorder="1" applyAlignment="1">
      <alignment horizontal="left" vertical="center" wrapText="1"/>
    </xf>
    <xf numFmtId="0" fontId="5" fillId="178" borderId="300" xfId="0" applyNumberFormat="1" applyFont="1" applyFill="1" applyBorder="1" applyAlignment="1">
      <alignment horizontal="center" vertical="center" wrapText="1"/>
    </xf>
    <xf numFmtId="0" fontId="4" fillId="143" borderId="240" xfId="0" applyNumberFormat="1" applyFont="1" applyFill="1" applyBorder="1" applyAlignment="1">
      <alignment horizontal="left" vertical="center" wrapText="1"/>
    </xf>
    <xf numFmtId="0" fontId="4" fillId="144" borderId="241" xfId="0" applyNumberFormat="1" applyFont="1" applyFill="1" applyBorder="1" applyAlignment="1">
      <alignment horizontal="left" vertical="center" wrapText="1"/>
    </xf>
    <xf numFmtId="0" fontId="4" fillId="145" borderId="242" xfId="0" applyNumberFormat="1" applyFont="1" applyFill="1" applyBorder="1" applyAlignment="1">
      <alignment horizontal="left" vertical="center" wrapText="1"/>
    </xf>
    <xf numFmtId="0" fontId="3" fillId="0" borderId="172" xfId="0" applyNumberFormat="1" applyFont="1" applyBorder="1" applyAlignment="1">
      <alignment horizontal="center" vertical="center"/>
    </xf>
    <xf numFmtId="0" fontId="3" fillId="0" borderId="272" xfId="0" applyNumberFormat="1" applyFont="1" applyBorder="1" applyAlignment="1">
      <alignment horizontal="center" vertical="center" wrapText="1"/>
    </xf>
    <xf numFmtId="0" fontId="3" fillId="0" borderId="273" xfId="0" applyNumberFormat="1" applyFont="1" applyBorder="1" applyAlignment="1">
      <alignment horizontal="left" vertical="center" wrapText="1"/>
    </xf>
    <xf numFmtId="0" fontId="3" fillId="0" borderId="274" xfId="0" applyNumberFormat="1" applyFont="1" applyBorder="1" applyAlignment="1">
      <alignment horizontal="left" vertical="center"/>
    </xf>
    <xf numFmtId="0" fontId="3" fillId="0" borderId="48" xfId="0" applyNumberFormat="1" applyFont="1" applyBorder="1" applyAlignment="1">
      <alignment horizontal="center"/>
    </xf>
    <xf numFmtId="0" fontId="3" fillId="0" borderId="171" xfId="0" applyNumberFormat="1" applyFont="1" applyBorder="1" applyAlignment="1">
      <alignment horizontal="center" vertical="center"/>
    </xf>
    <xf numFmtId="0" fontId="3" fillId="0" borderId="173" xfId="0" applyNumberFormat="1" applyFont="1" applyBorder="1" applyAlignment="1">
      <alignment horizontal="center" vertical="center" wrapText="1"/>
    </xf>
    <xf numFmtId="0" fontId="5" fillId="200" borderId="358" xfId="0" applyNumberFormat="1" applyFont="1" applyFill="1" applyBorder="1" applyAlignment="1">
      <alignment horizontal="center" vertical="top" wrapText="1"/>
    </xf>
    <xf numFmtId="0" fontId="23" fillId="0" borderId="287" xfId="0" applyNumberFormat="1" applyFont="1" applyBorder="1" applyAlignment="1">
      <alignment horizontal="center" vertical="top" wrapText="1"/>
    </xf>
    <xf numFmtId="0" fontId="5" fillId="0" borderId="288" xfId="0" applyNumberFormat="1" applyFont="1" applyBorder="1" applyAlignment="1">
      <alignment horizontal="center" vertical="top"/>
    </xf>
    <xf numFmtId="0" fontId="19" fillId="0" borderId="289" xfId="0" applyNumberFormat="1" applyFont="1" applyBorder="1" applyAlignment="1">
      <alignment horizontal="center" vertical="top" wrapText="1"/>
    </xf>
    <xf numFmtId="0" fontId="4" fillId="105" borderId="168" xfId="0" applyNumberFormat="1" applyFont="1" applyFill="1" applyBorder="1" applyAlignment="1">
      <alignment horizontal="left" vertical="top" wrapText="1"/>
    </xf>
    <xf numFmtId="0" fontId="4" fillId="61" borderId="94" xfId="0" applyNumberFormat="1" applyFont="1" applyFill="1" applyBorder="1" applyAlignment="1">
      <alignment horizontal="left" vertical="top" wrapText="1"/>
    </xf>
    <xf numFmtId="0" fontId="5" fillId="0" borderId="286" xfId="0" applyNumberFormat="1" applyFont="1" applyBorder="1" applyAlignment="1">
      <alignment horizontal="center" vertical="top" wrapText="1"/>
    </xf>
    <xf numFmtId="0" fontId="3" fillId="0" borderId="99" xfId="0" applyNumberFormat="1" applyFont="1" applyBorder="1" applyAlignment="1">
      <alignment horizontal="left" vertical="top" wrapText="1"/>
    </xf>
    <xf numFmtId="0" fontId="3" fillId="0" borderId="294" xfId="0" applyNumberFormat="1" applyFont="1" applyBorder="1" applyAlignment="1">
      <alignment horizontal="center" vertical="top" wrapText="1"/>
    </xf>
    <xf numFmtId="0" fontId="3" fillId="0" borderId="292" xfId="0" applyNumberFormat="1" applyFont="1" applyBorder="1" applyAlignment="1">
      <alignment horizontal="center" vertical="top"/>
    </xf>
    <xf numFmtId="0" fontId="23" fillId="0" borderId="166" xfId="0" applyNumberFormat="1" applyFont="1" applyBorder="1" applyAlignment="1">
      <alignment horizontal="center" vertical="center" wrapText="1"/>
    </xf>
    <xf numFmtId="0" fontId="22" fillId="103" borderId="165" xfId="0" applyNumberFormat="1" applyFont="1" applyFill="1" applyBorder="1" applyAlignment="1">
      <alignment horizontal="center" vertical="center" wrapText="1"/>
    </xf>
    <xf numFmtId="0" fontId="9" fillId="117" borderId="191" xfId="0" applyNumberFormat="1" applyFont="1" applyFill="1" applyBorder="1" applyAlignment="1">
      <alignment horizontal="center"/>
    </xf>
    <xf numFmtId="0" fontId="10" fillId="113" borderId="187" xfId="0" applyNumberFormat="1" applyFont="1" applyFill="1" applyBorder="1" applyAlignment="1">
      <alignment horizontal="left" vertical="center" wrapText="1"/>
    </xf>
    <xf numFmtId="0" fontId="10" fillId="114" borderId="188" xfId="0" applyNumberFormat="1" applyFont="1" applyFill="1" applyBorder="1" applyAlignment="1">
      <alignment horizontal="center" vertical="top" wrapText="1"/>
    </xf>
    <xf numFmtId="0" fontId="9" fillId="116" borderId="190" xfId="0" applyNumberFormat="1" applyFont="1" applyFill="1" applyBorder="1" applyAlignment="1">
      <alignment horizontal="left" wrapText="1"/>
    </xf>
    <xf numFmtId="0" fontId="9" fillId="118" borderId="192" xfId="0" applyNumberFormat="1" applyFont="1" applyFill="1" applyBorder="1" applyAlignment="1">
      <alignment horizontal="center" vertical="top"/>
    </xf>
    <xf numFmtId="0" fontId="9" fillId="119" borderId="193" xfId="0" applyNumberFormat="1" applyFont="1" applyFill="1" applyBorder="1" applyAlignment="1">
      <alignment horizontal="center" vertical="top" wrapText="1"/>
    </xf>
    <xf numFmtId="0" fontId="9" fillId="0" borderId="349" xfId="0" applyNumberFormat="1" applyFont="1" applyBorder="1" applyAlignment="1">
      <alignment horizontal="center" vertical="top"/>
    </xf>
    <xf numFmtId="0" fontId="9" fillId="0" borderId="350" xfId="0" applyNumberFormat="1" applyFont="1" applyBorder="1" applyAlignment="1">
      <alignment horizontal="center" vertical="top"/>
    </xf>
    <xf numFmtId="0" fontId="9" fillId="0" borderId="351" xfId="0" applyNumberFormat="1" applyFont="1" applyBorder="1" applyAlignment="1">
      <alignment horizontal="center" vertical="top"/>
    </xf>
    <xf numFmtId="0" fontId="9" fillId="0" borderId="46" xfId="0" applyNumberFormat="1" applyFont="1" applyBorder="1" applyAlignment="1">
      <alignment horizontal="left" vertical="center" wrapText="1"/>
    </xf>
    <xf numFmtId="0" fontId="9" fillId="0" borderId="184" xfId="0" applyNumberFormat="1" applyFont="1" applyBorder="1" applyAlignment="1">
      <alignment horizontal="center" vertical="top"/>
    </xf>
    <xf numFmtId="0" fontId="9" fillId="0" borderId="185" xfId="0" applyNumberFormat="1" applyFont="1" applyBorder="1" applyAlignment="1">
      <alignment horizontal="center" vertical="top" wrapText="1"/>
    </xf>
    <xf numFmtId="0" fontId="10" fillId="62" borderId="97" xfId="0" applyNumberFormat="1" applyFont="1" applyFill="1" applyBorder="1" applyAlignment="1">
      <alignment horizontal="left" vertical="top" wrapText="1"/>
    </xf>
    <xf numFmtId="0" fontId="19" fillId="0" borderId="183" xfId="0" applyNumberFormat="1" applyFont="1" applyBorder="1" applyAlignment="1">
      <alignment horizontal="left" vertical="center" wrapText="1"/>
    </xf>
    <xf numFmtId="0" fontId="5" fillId="0" borderId="182" xfId="0" applyNumberFormat="1" applyFont="1" applyBorder="1" applyAlignment="1">
      <alignment horizontal="left" vertical="center"/>
    </xf>
    <xf numFmtId="0" fontId="2" fillId="111" borderId="181" xfId="0" applyNumberFormat="1" applyFont="1" applyFill="1" applyBorder="1" applyAlignment="1">
      <alignment horizontal="center" vertical="top" wrapText="1"/>
    </xf>
    <xf numFmtId="0" fontId="14" fillId="0" borderId="205" xfId="0" applyNumberFormat="1" applyFont="1" applyBorder="1" applyAlignment="1">
      <alignment horizontal="left" vertical="center" wrapText="1"/>
    </xf>
    <xf numFmtId="0" fontId="14" fillId="0" borderId="206" xfId="0" applyNumberFormat="1" applyFont="1" applyBorder="1" applyAlignment="1">
      <alignment horizontal="left" vertical="center"/>
    </xf>
    <xf numFmtId="0" fontId="14" fillId="0" borderId="53" xfId="0" applyNumberFormat="1" applyFont="1" applyBorder="1" applyAlignment="1">
      <alignment horizontal="left" vertical="top" wrapText="1"/>
    </xf>
    <xf numFmtId="0" fontId="14" fillId="0" borderId="63" xfId="0" applyNumberFormat="1" applyFont="1" applyBorder="1" applyAlignment="1">
      <alignment horizontal="left" vertical="top"/>
    </xf>
    <xf numFmtId="0" fontId="16" fillId="36" borderId="52" xfId="0" applyNumberFormat="1" applyFont="1" applyFill="1" applyBorder="1" applyAlignment="1">
      <alignment horizontal="left" vertical="top" wrapText="1"/>
    </xf>
    <xf numFmtId="0" fontId="14" fillId="0" borderId="304" xfId="0" applyNumberFormat="1" applyFont="1" applyBorder="1" applyAlignment="1">
      <alignment horizontal="center" vertical="center"/>
    </xf>
    <xf numFmtId="0" fontId="14" fillId="0" borderId="344" xfId="0" applyNumberFormat="1" applyFont="1" applyBorder="1" applyAlignment="1">
      <alignment horizontal="left" vertical="top" wrapText="1"/>
    </xf>
    <xf numFmtId="0" fontId="14" fillId="0" borderId="345" xfId="0" applyNumberFormat="1" applyFont="1" applyBorder="1" applyAlignment="1">
      <alignment horizontal="left" vertical="top"/>
    </xf>
    <xf numFmtId="0" fontId="14" fillId="0" borderId="317" xfId="0" applyNumberFormat="1" applyFont="1" applyBorder="1" applyAlignment="1">
      <alignment horizontal="left" vertical="center" wrapText="1"/>
    </xf>
    <xf numFmtId="0" fontId="14" fillId="0" borderId="346" xfId="0" applyNumberFormat="1" applyFont="1" applyBorder="1" applyAlignment="1">
      <alignment horizontal="left" vertical="center"/>
    </xf>
    <xf numFmtId="0" fontId="14" fillId="0" borderId="213" xfId="0" applyNumberFormat="1" applyFont="1" applyBorder="1" applyAlignment="1">
      <alignment horizontal="center" vertical="center"/>
    </xf>
    <xf numFmtId="0" fontId="16" fillId="76" borderId="118" xfId="0" applyNumberFormat="1" applyFont="1" applyFill="1" applyBorder="1" applyAlignment="1">
      <alignment horizontal="center" vertical="center" wrapText="1"/>
    </xf>
    <xf numFmtId="0" fontId="14" fillId="0" borderId="196" xfId="0" applyNumberFormat="1" applyFont="1" applyBorder="1" applyAlignment="1">
      <alignment horizontal="center" vertical="center" wrapText="1"/>
    </xf>
    <xf numFmtId="0" fontId="24" fillId="0" borderId="343" xfId="0" applyNumberFormat="1" applyFont="1" applyBorder="1" applyAlignment="1">
      <alignment horizontal="center" vertical="center" wrapText="1"/>
    </xf>
    <xf numFmtId="0" fontId="24" fillId="0" borderId="197" xfId="0" applyNumberFormat="1" applyFont="1" applyBorder="1" applyAlignment="1">
      <alignment horizontal="center" vertical="center" wrapText="1"/>
    </xf>
    <xf numFmtId="0" fontId="16" fillId="148" borderId="246" xfId="0" applyNumberFormat="1" applyFont="1" applyFill="1" applyBorder="1" applyAlignment="1">
      <alignment horizontal="left" vertical="center" wrapText="1"/>
    </xf>
    <xf numFmtId="0" fontId="16" fillId="182" borderId="313" xfId="0" applyNumberFormat="1" applyFont="1" applyFill="1" applyBorder="1" applyAlignment="1">
      <alignment horizontal="left" vertical="center" wrapText="1"/>
    </xf>
    <xf numFmtId="0" fontId="16" fillId="185" borderId="322" xfId="0" applyNumberFormat="1" applyFont="1" applyFill="1" applyBorder="1" applyAlignment="1">
      <alignment horizontal="left" vertical="center" wrapText="1"/>
    </xf>
    <xf numFmtId="0" fontId="14" fillId="196" borderId="339" xfId="0" applyNumberFormat="1" applyFont="1" applyFill="1" applyBorder="1" applyAlignment="1">
      <alignment horizontal="center" vertical="center" wrapText="1"/>
    </xf>
    <xf numFmtId="0" fontId="24" fillId="197" borderId="340" xfId="0" applyNumberFormat="1" applyFont="1" applyFill="1" applyBorder="1" applyAlignment="1">
      <alignment horizontal="center" vertical="center" wrapText="1"/>
    </xf>
    <xf numFmtId="0" fontId="14" fillId="0" borderId="352" xfId="0" applyNumberFormat="1" applyFont="1" applyBorder="1" applyAlignment="1">
      <alignment horizontal="left" vertical="top" wrapText="1"/>
    </xf>
    <xf numFmtId="0" fontId="14" fillId="147" borderId="245" xfId="0" applyNumberFormat="1" applyFont="1" applyFill="1" applyBorder="1" applyAlignment="1">
      <alignment horizontal="center" vertical="center" wrapText="1"/>
    </xf>
    <xf numFmtId="0" fontId="14" fillId="0" borderId="341" xfId="0" applyNumberFormat="1" applyFont="1" applyBorder="1" applyAlignment="1">
      <alignment horizontal="center" vertical="center"/>
    </xf>
    <xf numFmtId="0" fontId="14" fillId="0" borderId="342" xfId="0" applyNumberFormat="1" applyFont="1" applyBorder="1" applyAlignment="1">
      <alignment horizontal="center" vertical="center"/>
    </xf>
    <xf numFmtId="0" fontId="14" fillId="125" borderId="207" xfId="0" applyNumberFormat="1" applyFont="1" applyFill="1" applyBorder="1" applyAlignment="1">
      <alignment horizontal="center" vertical="center" wrapText="1"/>
    </xf>
    <xf numFmtId="0" fontId="14" fillId="121" borderId="200" xfId="0" applyNumberFormat="1" applyFont="1" applyFill="1" applyBorder="1" applyAlignment="1">
      <alignment horizontal="center" vertical="center" wrapText="1"/>
    </xf>
    <xf numFmtId="0" fontId="24" fillId="122" borderId="201" xfId="0" applyNumberFormat="1" applyFont="1" applyFill="1" applyBorder="1" applyAlignment="1">
      <alignment horizontal="center" vertical="center" wrapText="1"/>
    </xf>
    <xf numFmtId="0" fontId="24" fillId="123" borderId="202" xfId="0" applyNumberFormat="1" applyFont="1" applyFill="1" applyBorder="1" applyAlignment="1">
      <alignment horizontal="center" vertical="center" wrapText="1"/>
    </xf>
    <xf numFmtId="0" fontId="25" fillId="151" borderId="249" xfId="0" applyNumberFormat="1" applyFont="1" applyFill="1" applyBorder="1" applyAlignment="1">
      <alignment horizontal="center" vertical="center" wrapText="1"/>
    </xf>
    <xf numFmtId="0" fontId="24" fillId="152" borderId="250" xfId="0" applyNumberFormat="1" applyFont="1" applyFill="1" applyBorder="1" applyAlignment="1">
      <alignment horizontal="center" vertical="center" wrapText="1"/>
    </xf>
    <xf numFmtId="0" fontId="24" fillId="129" borderId="212" xfId="0" applyNumberFormat="1" applyFont="1" applyFill="1" applyBorder="1" applyAlignment="1">
      <alignment horizontal="center" vertical="center" wrapText="1"/>
    </xf>
    <xf numFmtId="0" fontId="14" fillId="0" borderId="100" xfId="0" applyNumberFormat="1" applyFont="1" applyBorder="1" applyAlignment="1">
      <alignment horizontal="center" vertical="top"/>
    </xf>
    <xf numFmtId="0" fontId="26" fillId="0" borderId="204" xfId="0" applyNumberFormat="1" applyFont="1" applyBorder="1" applyAlignment="1">
      <alignment horizontal="center" vertical="center" wrapText="1"/>
    </xf>
    <xf numFmtId="0" fontId="16" fillId="37" borderId="54" xfId="0" applyNumberFormat="1" applyFont="1" applyFill="1" applyBorder="1" applyAlignment="1">
      <alignment horizontal="center" vertical="top" wrapText="1"/>
    </xf>
    <xf numFmtId="0" fontId="25" fillId="127" borderId="210" xfId="0" applyNumberFormat="1" applyFont="1" applyFill="1" applyBorder="1" applyAlignment="1">
      <alignment horizontal="center" vertical="center" wrapText="1"/>
    </xf>
    <xf numFmtId="0" fontId="25" fillId="0" borderId="195" xfId="0" applyNumberFormat="1" applyFont="1" applyBorder="1" applyAlignment="1">
      <alignment horizontal="center" vertical="center" wrapText="1"/>
    </xf>
    <xf numFmtId="0" fontId="16" fillId="128" borderId="211" xfId="0" applyNumberFormat="1" applyFont="1" applyFill="1" applyBorder="1" applyAlignment="1">
      <alignment horizontal="center" vertical="top" wrapText="1"/>
    </xf>
    <xf numFmtId="0" fontId="14" fillId="0" borderId="91" xfId="0" applyNumberFormat="1" applyFont="1" applyBorder="1" applyAlignment="1">
      <alignment horizontal="center" vertical="top" wrapText="1"/>
    </xf>
    <xf numFmtId="0" fontId="14" fillId="0" borderId="209" xfId="0" applyNumberFormat="1" applyFont="1" applyBorder="1" applyAlignment="1">
      <alignment horizontal="center" vertical="top" wrapText="1"/>
    </xf>
    <xf numFmtId="0" fontId="16" fillId="126" borderId="208" xfId="0" applyNumberFormat="1" applyFont="1" applyFill="1" applyBorder="1" applyAlignment="1">
      <alignment horizontal="center" vertical="top" wrapText="1"/>
    </xf>
    <xf numFmtId="0" fontId="14" fillId="139" borderId="234" xfId="0" applyNumberFormat="1" applyFont="1" applyFill="1" applyBorder="1" applyAlignment="1">
      <alignment horizontal="center" vertical="center" wrapText="1"/>
    </xf>
    <xf numFmtId="0" fontId="25" fillId="0" borderId="198" xfId="0" applyNumberFormat="1" applyFont="1" applyBorder="1" applyAlignment="1">
      <alignment horizontal="center" vertical="center" wrapText="1"/>
    </xf>
    <xf numFmtId="0" fontId="14" fillId="0" borderId="199" xfId="0" applyNumberFormat="1" applyFont="1" applyBorder="1" applyAlignment="1">
      <alignment horizontal="center" vertical="center" wrapText="1"/>
    </xf>
    <xf numFmtId="0" fontId="24" fillId="0" borderId="235" xfId="0" applyNumberFormat="1" applyFont="1" applyBorder="1" applyAlignment="1">
      <alignment horizontal="center" vertical="center" wrapText="1"/>
    </xf>
    <xf numFmtId="0" fontId="16" fillId="69" borderId="108" xfId="0" applyNumberFormat="1" applyFont="1" applyFill="1" applyBorder="1" applyAlignment="1">
      <alignment horizontal="left" vertical="top" wrapText="1"/>
    </xf>
    <xf numFmtId="0" fontId="16" fillId="156" borderId="255" xfId="0" applyNumberFormat="1" applyFont="1" applyFill="1" applyBorder="1" applyAlignment="1">
      <alignment horizontal="center" vertical="center" wrapText="1"/>
    </xf>
    <xf numFmtId="0" fontId="16" fillId="191" borderId="332" xfId="0" applyNumberFormat="1" applyFont="1" applyFill="1" applyBorder="1" applyAlignment="1">
      <alignment horizontal="center" vertical="center" wrapText="1"/>
    </xf>
    <xf numFmtId="0" fontId="14" fillId="0" borderId="256" xfId="0" applyNumberFormat="1" applyFont="1" applyBorder="1" applyAlignment="1">
      <alignment horizontal="center" vertical="center"/>
    </xf>
    <xf numFmtId="0" fontId="14" fillId="0" borderId="334" xfId="0" applyNumberFormat="1" applyFont="1" applyBorder="1" applyAlignment="1">
      <alignment horizontal="center" vertical="center"/>
    </xf>
    <xf numFmtId="0" fontId="30" fillId="0" borderId="302" xfId="0" applyNumberFormat="1" applyFont="1" applyBorder="1" applyAlignment="1">
      <alignment horizontal="left" vertical="center" wrapText="1"/>
    </xf>
    <xf numFmtId="0" fontId="14" fillId="0" borderId="320" xfId="0" applyNumberFormat="1" applyFont="1" applyBorder="1" applyAlignment="1">
      <alignment horizontal="left" vertical="center" wrapText="1"/>
    </xf>
    <xf numFmtId="0" fontId="14" fillId="0" borderId="331" xfId="0" applyNumberFormat="1" applyFont="1" applyBorder="1" applyAlignment="1">
      <alignment horizontal="left" vertical="center" wrapText="1"/>
    </xf>
    <xf numFmtId="0" fontId="26" fillId="124" borderId="203" xfId="0" applyNumberFormat="1" applyFont="1" applyFill="1" applyBorder="1" applyAlignment="1">
      <alignment horizontal="center" vertical="center" wrapText="1"/>
    </xf>
    <xf numFmtId="14" fontId="15" fillId="45" borderId="71" xfId="0" applyNumberFormat="1" applyFont="1" applyFill="1" applyBorder="1" applyAlignment="1">
      <alignment horizontal="center" vertical="center"/>
    </xf>
    <xf numFmtId="0" fontId="24" fillId="130" borderId="214" xfId="0" applyNumberFormat="1" applyFont="1" applyFill="1" applyBorder="1" applyAlignment="1">
      <alignment horizontal="left" vertical="center" wrapText="1"/>
    </xf>
    <xf numFmtId="0" fontId="15" fillId="35" borderId="51" xfId="0" applyNumberFormat="1" applyFont="1" applyFill="1" applyBorder="1" applyAlignment="1">
      <alignment horizontal="center" vertical="center" wrapText="1"/>
    </xf>
    <xf numFmtId="0" fontId="24" fillId="120" borderId="194" xfId="0" applyNumberFormat="1" applyFont="1" applyFill="1" applyBorder="1" applyAlignment="1">
      <alignment horizontal="center" vertical="center" wrapText="1"/>
    </xf>
    <xf numFmtId="0" fontId="29" fillId="172" borderId="281" xfId="0" applyNumberFormat="1" applyFont="1" applyFill="1" applyBorder="1" applyAlignment="1">
      <alignment horizontal="center" vertical="center"/>
    </xf>
    <xf numFmtId="0" fontId="23" fillId="0" borderId="303" xfId="0" applyNumberFormat="1" applyFont="1" applyBorder="1" applyAlignment="1">
      <alignment horizontal="center" vertical="center" wrapText="1"/>
    </xf>
    <xf numFmtId="0" fontId="23" fillId="0" borderId="301" xfId="0" applyNumberFormat="1" applyFont="1" applyBorder="1" applyAlignment="1">
      <alignment horizontal="center" vertical="center" wrapText="1"/>
    </xf>
  </cellXfs>
  <cellStyles count="2">
    <cellStyle name="常规" xfId="0" builtinId="0"/>
    <cellStyle name="常规 2" xfId="1" xr:uid="{7781DE13-41A5-47DF-8C3D-9331E4264FF1}"/>
  </cellStyles>
  <dxfs count="7">
    <dxf>
      <font>
        <color rgb="FF000000"/>
      </font>
      <fill>
        <patternFill patternType="solid">
          <bgColor rgb="FFC7DFFD"/>
        </patternFill>
      </fill>
    </dxf>
    <dxf>
      <font>
        <color rgb="FF000000"/>
      </font>
      <fill>
        <patternFill patternType="solid">
          <bgColor rgb="FFC7DFFD"/>
        </patternFill>
      </fill>
    </dxf>
    <dxf>
      <font>
        <color rgb="FFFFFFFF"/>
      </font>
      <fill>
        <patternFill patternType="solid">
          <bgColor rgb="FF4795FB"/>
        </patternFill>
      </fill>
    </dxf>
    <dxf>
      <font>
        <color rgb="FFFFFFFF"/>
      </font>
      <fill>
        <patternFill patternType="solid">
          <bgColor rgb="FF4795FB"/>
        </patternFill>
      </fill>
    </dxf>
    <dxf>
      <font>
        <b/>
        <color rgb="FF000000"/>
      </font>
    </dxf>
    <dxf>
      <font>
        <b/>
        <color rgb="FFFFFFFF"/>
      </font>
      <fill>
        <patternFill patternType="solid">
          <bgColor rgb="FF4795FB"/>
        </patternFill>
      </fill>
    </dxf>
    <dxf>
      <font>
        <color rgb="FF000000"/>
      </font>
      <border>
        <left style="thin">
          <color rgb="FF3370BC"/>
        </left>
        <right style="thin">
          <color rgb="FF3370BC"/>
        </right>
        <top style="thin">
          <color rgb="FF3370BC"/>
        </top>
        <bottom style="thin">
          <color rgb="FF3370BC"/>
        </bottom>
      </border>
    </dxf>
  </dxfs>
  <tableStyles count="1" defaultTableStyle="TableStyleMedium2" defaultPivotStyle="PivotStyleLight16">
    <tableStyle name="tsmediumblue"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39033;&#30446;&#21608;&#26376;&#36827;&#24230;&#25253;&#21578;-&#29983;&#20135;&#36816;&#338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数据"/>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新建表格1" displayName="新建表格1" ref="A1:E20">
  <autoFilter ref="A1:E20" xr:uid="{00000000-0009-0000-0100-000001000000}"/>
  <tableColumns count="5">
    <tableColumn id="1" xr3:uid="{00000000-0010-0000-0000-000001000000}" name="提出日期"/>
    <tableColumn id="2" xr3:uid="{00000000-0010-0000-0000-000002000000}" name="提出人"/>
    <tableColumn id="3" xr3:uid="{00000000-0010-0000-0000-000003000000}" name="所属范围"/>
    <tableColumn id="4" xr3:uid="{00000000-0010-0000-0000-000004000000}" name="事项"/>
    <tableColumn id="5" xr3:uid="{00000000-0010-0000-0000-000005000000}" name="回复"/>
  </tableColumns>
  <tableStyleInfo name="tsmediumblu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F5733-E8B6-4B3C-B0E7-43250CB16042}">
  <sheetPr>
    <tabColor rgb="FFFFC000"/>
    <outlinePr summaryBelow="0" summaryRight="0"/>
  </sheetPr>
  <dimension ref="A1:ANF20"/>
  <sheetViews>
    <sheetView zoomScale="110" zoomScaleNormal="110" workbookViewId="0">
      <pane xSplit="45" ySplit="3" topLeftCell="AT4" activePane="bottomRight" state="frozen"/>
      <selection pane="topRight"/>
      <selection pane="bottomLeft"/>
      <selection pane="bottomRight" activeCell="BD3" sqref="BD3"/>
    </sheetView>
  </sheetViews>
  <sheetFormatPr defaultRowHeight="66" customHeight="1" x14ac:dyDescent="0.25"/>
  <cols>
    <col min="1" max="1" width="2.77734375" customWidth="1"/>
    <col min="2" max="2" width="9.77734375" customWidth="1"/>
    <col min="3" max="3" width="5.77734375" customWidth="1"/>
    <col min="4" max="4" width="9.5546875" customWidth="1"/>
    <col min="5" max="5" width="7.88671875" customWidth="1"/>
    <col min="6" max="6" width="10.109375" customWidth="1"/>
    <col min="7" max="7" width="13" customWidth="1"/>
    <col min="8" max="15" width="3.88671875" hidden="1" customWidth="1"/>
    <col min="16" max="23" width="5" hidden="1" customWidth="1"/>
    <col min="24" max="27" width="3.5546875" hidden="1" customWidth="1"/>
    <col min="28" max="30" width="4.33203125" hidden="1" customWidth="1"/>
    <col min="31" max="33" width="5.77734375" hidden="1" customWidth="1"/>
    <col min="34" max="36" width="5.88671875" hidden="1" customWidth="1"/>
    <col min="37" max="41" width="3.6640625" hidden="1" customWidth="1"/>
    <col min="42" max="45" width="4.5546875" hidden="1" customWidth="1"/>
    <col min="46" max="46" width="3.33203125" customWidth="1"/>
    <col min="47" max="54" width="3.109375" customWidth="1"/>
    <col min="55" max="55" width="5.5546875" customWidth="1"/>
    <col min="56" max="56" width="19.33203125" customWidth="1"/>
    <col min="57" max="57" width="3.88671875" customWidth="1"/>
    <col min="58" max="58" width="7.21875" customWidth="1"/>
    <col min="59" max="59" width="33.21875" customWidth="1"/>
    <col min="60" max="60" width="20.5546875" customWidth="1"/>
    <col min="61" max="61" width="45.109375" customWidth="1"/>
    <col min="62" max="63" width="3.109375" customWidth="1"/>
    <col min="64" max="65" width="10.109375" customWidth="1"/>
    <col min="66" max="66" width="12.109375" customWidth="1"/>
    <col min="67" max="67" width="11.109375" customWidth="1"/>
  </cols>
  <sheetData>
    <row r="1" spans="1:1046" ht="30" hidden="1" customHeight="1" x14ac:dyDescent="0.25"/>
    <row r="2" spans="1:1046" ht="39.75" customHeight="1" x14ac:dyDescent="0.25">
      <c r="B2" s="237" t="s">
        <v>0</v>
      </c>
      <c r="C2" s="237" t="s">
        <v>1</v>
      </c>
      <c r="D2" s="227" t="s">
        <v>2</v>
      </c>
      <c r="E2" s="227" t="s">
        <v>3</v>
      </c>
      <c r="F2" s="228" t="s">
        <v>4</v>
      </c>
      <c r="G2" s="229" t="s">
        <v>5</v>
      </c>
      <c r="H2" s="230" t="s">
        <v>6</v>
      </c>
      <c r="I2" s="230"/>
      <c r="J2" s="230"/>
      <c r="K2" s="230"/>
      <c r="L2" s="237" t="s">
        <v>7</v>
      </c>
      <c r="M2" s="237"/>
      <c r="N2" s="237"/>
      <c r="O2" s="237"/>
      <c r="P2" s="237" t="s">
        <v>8</v>
      </c>
      <c r="Q2" s="237"/>
      <c r="R2" s="237"/>
      <c r="S2" s="237"/>
      <c r="T2" s="237" t="s">
        <v>9</v>
      </c>
      <c r="U2" s="237"/>
      <c r="V2" s="237"/>
      <c r="W2" s="234"/>
      <c r="X2" s="237" t="s">
        <v>10</v>
      </c>
      <c r="Y2" s="237"/>
      <c r="Z2" s="237"/>
      <c r="AA2" s="237"/>
      <c r="AB2" s="237"/>
      <c r="AC2" s="234" t="s">
        <v>11</v>
      </c>
      <c r="AD2" s="235"/>
      <c r="AE2" s="235"/>
      <c r="AF2" s="236"/>
      <c r="AG2" s="237" t="s">
        <v>12</v>
      </c>
      <c r="AH2" s="237"/>
      <c r="AI2" s="237"/>
      <c r="AJ2" s="237"/>
      <c r="AK2" s="234" t="s">
        <v>13</v>
      </c>
      <c r="AL2" s="235"/>
      <c r="AM2" s="235"/>
      <c r="AN2" s="235"/>
      <c r="AO2" s="236"/>
      <c r="AP2" s="237" t="s">
        <v>14</v>
      </c>
      <c r="AQ2" s="237"/>
      <c r="AR2" s="237"/>
      <c r="AS2" s="237"/>
      <c r="AT2" s="234" t="s">
        <v>15</v>
      </c>
      <c r="AU2" s="235"/>
      <c r="AV2" s="235"/>
      <c r="AW2" s="235"/>
      <c r="AX2" s="236"/>
      <c r="AY2" s="237" t="s">
        <v>16</v>
      </c>
      <c r="AZ2" s="237"/>
      <c r="BA2" s="237"/>
      <c r="BB2" s="237"/>
      <c r="BC2" s="237" t="s">
        <v>17</v>
      </c>
      <c r="BD2" s="237"/>
      <c r="BE2" s="237"/>
      <c r="BF2" s="237"/>
      <c r="BG2" s="234" t="s">
        <v>6</v>
      </c>
      <c r="BH2" s="235"/>
      <c r="BI2" s="235"/>
      <c r="BJ2" s="235"/>
      <c r="BK2" s="236"/>
      <c r="BL2" s="226" t="s">
        <v>18</v>
      </c>
      <c r="BM2" s="226"/>
      <c r="BN2" s="226"/>
      <c r="BO2" s="226"/>
    </row>
    <row r="3" spans="1:1046" ht="42.75" customHeight="1" x14ac:dyDescent="0.25">
      <c r="B3" s="237"/>
      <c r="C3" s="237"/>
      <c r="D3" s="227"/>
      <c r="E3" s="227"/>
      <c r="F3" s="228"/>
      <c r="G3" s="229"/>
      <c r="H3" s="29" t="s">
        <v>19</v>
      </c>
      <c r="I3" s="29" t="s">
        <v>20</v>
      </c>
      <c r="J3" s="29" t="s">
        <v>21</v>
      </c>
      <c r="K3" s="29" t="s">
        <v>22</v>
      </c>
      <c r="L3" s="23" t="s">
        <v>23</v>
      </c>
      <c r="M3" s="23" t="s">
        <v>24</v>
      </c>
      <c r="N3" s="23" t="s">
        <v>25</v>
      </c>
      <c r="O3" s="23" t="s">
        <v>26</v>
      </c>
      <c r="P3" s="23" t="s">
        <v>27</v>
      </c>
      <c r="Q3" s="23" t="s">
        <v>28</v>
      </c>
      <c r="R3" s="23" t="s">
        <v>29</v>
      </c>
      <c r="S3" s="23" t="s">
        <v>30</v>
      </c>
      <c r="T3" s="23" t="s">
        <v>31</v>
      </c>
      <c r="U3" s="23" t="s">
        <v>32</v>
      </c>
      <c r="V3" s="23" t="s">
        <v>33</v>
      </c>
      <c r="W3" s="23" t="s">
        <v>34</v>
      </c>
      <c r="X3" s="23" t="s">
        <v>35</v>
      </c>
      <c r="Y3" s="23" t="s">
        <v>36</v>
      </c>
      <c r="Z3" s="23" t="s">
        <v>37</v>
      </c>
      <c r="AA3" s="23" t="s">
        <v>38</v>
      </c>
      <c r="AB3" s="23" t="s">
        <v>39</v>
      </c>
      <c r="AC3" s="23" t="s">
        <v>40</v>
      </c>
      <c r="AD3" s="23" t="s">
        <v>41</v>
      </c>
      <c r="AE3" s="23" t="s">
        <v>42</v>
      </c>
      <c r="AF3" s="23" t="s">
        <v>43</v>
      </c>
      <c r="AG3" s="23" t="s">
        <v>44</v>
      </c>
      <c r="AH3" s="23" t="s">
        <v>45</v>
      </c>
      <c r="AI3" s="23" t="s">
        <v>46</v>
      </c>
      <c r="AJ3" s="23" t="s">
        <v>47</v>
      </c>
      <c r="AK3" s="23" t="s">
        <v>48</v>
      </c>
      <c r="AL3" s="23" t="s">
        <v>49</v>
      </c>
      <c r="AM3" s="23" t="s">
        <v>50</v>
      </c>
      <c r="AN3" s="23" t="s">
        <v>51</v>
      </c>
      <c r="AO3" s="23" t="s">
        <v>52</v>
      </c>
      <c r="AP3" s="23" t="s">
        <v>53</v>
      </c>
      <c r="AQ3" s="23" t="s">
        <v>54</v>
      </c>
      <c r="AR3" s="23" t="s">
        <v>55</v>
      </c>
      <c r="AS3" s="23" t="s">
        <v>56</v>
      </c>
      <c r="AT3" s="23" t="s">
        <v>57</v>
      </c>
      <c r="AU3" s="23" t="s">
        <v>58</v>
      </c>
      <c r="AV3" s="23" t="s">
        <v>59</v>
      </c>
      <c r="AW3" s="23" t="s">
        <v>60</v>
      </c>
      <c r="AX3" s="23" t="s">
        <v>61</v>
      </c>
      <c r="AY3" s="23" t="s">
        <v>62</v>
      </c>
      <c r="AZ3" s="23" t="s">
        <v>63</v>
      </c>
      <c r="BA3" s="23" t="s">
        <v>64</v>
      </c>
      <c r="BB3" s="23" t="s">
        <v>65</v>
      </c>
      <c r="BC3" s="23" t="s">
        <v>66</v>
      </c>
      <c r="BD3" s="23" t="s">
        <v>67</v>
      </c>
      <c r="BE3" s="23" t="s">
        <v>68</v>
      </c>
      <c r="BF3" s="23" t="s">
        <v>69</v>
      </c>
      <c r="BG3" s="23" t="s">
        <v>70</v>
      </c>
      <c r="BH3" s="23" t="s">
        <v>71</v>
      </c>
      <c r="BI3" s="23" t="s">
        <v>72</v>
      </c>
      <c r="BJ3" s="23" t="s">
        <v>73</v>
      </c>
      <c r="BK3" s="23" t="s">
        <v>74</v>
      </c>
      <c r="BL3" s="32" t="s">
        <v>75</v>
      </c>
      <c r="BM3" s="1" t="s">
        <v>76</v>
      </c>
      <c r="BN3" s="1" t="s">
        <v>77</v>
      </c>
      <c r="BO3" s="1" t="s">
        <v>78</v>
      </c>
    </row>
    <row r="4" spans="1:1046" ht="38.25" customHeight="1" x14ac:dyDescent="0.25">
      <c r="B4" s="231" t="s">
        <v>79</v>
      </c>
      <c r="C4" s="231" t="s">
        <v>80</v>
      </c>
      <c r="D4" s="232" t="s">
        <v>81</v>
      </c>
      <c r="E4" s="232" t="s">
        <v>82</v>
      </c>
      <c r="F4" s="225" t="s">
        <v>83</v>
      </c>
      <c r="G4" s="27" t="s">
        <v>84</v>
      </c>
      <c r="H4" s="41" t="s">
        <v>85</v>
      </c>
      <c r="I4" s="41" t="s">
        <v>86</v>
      </c>
      <c r="J4" s="41" t="s">
        <v>87</v>
      </c>
      <c r="K4" s="41" t="s">
        <v>88</v>
      </c>
      <c r="L4" s="41" t="s">
        <v>89</v>
      </c>
      <c r="M4" s="41" t="s">
        <v>90</v>
      </c>
      <c r="N4" s="41" t="s">
        <v>91</v>
      </c>
      <c r="O4" s="41" t="s">
        <v>92</v>
      </c>
      <c r="P4" s="41"/>
      <c r="Q4" s="41" t="s">
        <v>93</v>
      </c>
      <c r="R4" s="41" t="s">
        <v>94</v>
      </c>
      <c r="S4" s="41" t="s">
        <v>95</v>
      </c>
      <c r="T4" s="41" t="s">
        <v>96</v>
      </c>
      <c r="U4" s="41" t="s">
        <v>97</v>
      </c>
      <c r="V4" s="41" t="s">
        <v>98</v>
      </c>
      <c r="W4" s="41" t="s">
        <v>99</v>
      </c>
      <c r="X4" s="41" t="s">
        <v>100</v>
      </c>
      <c r="Y4" s="41" t="s">
        <v>101</v>
      </c>
      <c r="Z4" s="41" t="s">
        <v>102</v>
      </c>
      <c r="AA4" s="41" t="s">
        <v>103</v>
      </c>
      <c r="AB4" s="41" t="s">
        <v>104</v>
      </c>
      <c r="AC4" s="41" t="s">
        <v>105</v>
      </c>
      <c r="AD4" s="41" t="s">
        <v>106</v>
      </c>
      <c r="AE4" s="41" t="s">
        <v>107</v>
      </c>
      <c r="AF4" s="41" t="s">
        <v>108</v>
      </c>
      <c r="AG4" s="41" t="s">
        <v>109</v>
      </c>
      <c r="AH4" s="41" t="s">
        <v>109</v>
      </c>
      <c r="AI4" s="41" t="s">
        <v>110</v>
      </c>
      <c r="AJ4" s="41" t="s">
        <v>111</v>
      </c>
      <c r="AK4" s="41" t="s">
        <v>112</v>
      </c>
      <c r="AL4" s="41"/>
      <c r="AM4" s="41"/>
      <c r="AN4" s="41" t="s">
        <v>113</v>
      </c>
      <c r="AO4" s="41" t="s">
        <v>113</v>
      </c>
      <c r="AP4" s="41" t="s">
        <v>113</v>
      </c>
      <c r="AQ4" s="41"/>
      <c r="AR4" s="41" t="s">
        <v>114</v>
      </c>
      <c r="AS4" s="41"/>
      <c r="AT4" s="41" t="s">
        <v>115</v>
      </c>
      <c r="AU4" s="41"/>
      <c r="AV4" s="41" t="s">
        <v>116</v>
      </c>
      <c r="AW4" s="41"/>
      <c r="AX4" s="41"/>
      <c r="AY4" s="41"/>
      <c r="AZ4" s="41"/>
      <c r="BA4" s="41"/>
      <c r="BB4" s="41"/>
      <c r="BC4" s="41"/>
      <c r="BD4" s="41"/>
      <c r="BE4" s="41"/>
      <c r="BF4" s="41"/>
      <c r="BG4" s="41"/>
      <c r="BH4" s="41"/>
      <c r="BI4" s="41"/>
      <c r="BJ4" s="41"/>
      <c r="BK4" s="41"/>
      <c r="BL4" s="40" t="s">
        <v>117</v>
      </c>
      <c r="BM4" s="38" t="s">
        <v>118</v>
      </c>
      <c r="BN4" s="38" t="s">
        <v>119</v>
      </c>
      <c r="BO4" s="38"/>
    </row>
    <row r="5" spans="1:1046" ht="141" customHeight="1" x14ac:dyDescent="0.25">
      <c r="B5" s="231"/>
      <c r="C5" s="231"/>
      <c r="D5" s="232"/>
      <c r="E5" s="232"/>
      <c r="F5" s="225"/>
      <c r="G5" s="5" t="s">
        <v>120</v>
      </c>
      <c r="H5" s="42" t="s">
        <v>121</v>
      </c>
      <c r="I5" s="42" t="s">
        <v>86</v>
      </c>
      <c r="J5" s="43" t="s">
        <v>122</v>
      </c>
      <c r="K5" s="42" t="s">
        <v>123</v>
      </c>
      <c r="L5" s="42" t="s">
        <v>124</v>
      </c>
      <c r="M5" s="42" t="s">
        <v>125</v>
      </c>
      <c r="N5" s="42" t="s">
        <v>126</v>
      </c>
      <c r="P5" s="42" t="s">
        <v>127</v>
      </c>
      <c r="Q5" s="42" t="s">
        <v>128</v>
      </c>
      <c r="R5" s="42" t="s">
        <v>129</v>
      </c>
      <c r="S5" s="42" t="s">
        <v>130</v>
      </c>
      <c r="T5" s="42" t="s">
        <v>131</v>
      </c>
      <c r="U5" s="42" t="s">
        <v>132</v>
      </c>
      <c r="V5" s="42" t="s">
        <v>133</v>
      </c>
      <c r="W5" s="42" t="s">
        <v>134</v>
      </c>
      <c r="X5" s="42" t="s">
        <v>135</v>
      </c>
      <c r="Y5" s="42" t="s">
        <v>136</v>
      </c>
      <c r="Z5" s="42" t="s">
        <v>137</v>
      </c>
      <c r="AA5" s="42" t="s">
        <v>138</v>
      </c>
      <c r="AB5" s="42" t="s">
        <v>139</v>
      </c>
      <c r="AC5" s="42" t="s">
        <v>106</v>
      </c>
      <c r="AD5" s="42" t="s">
        <v>106</v>
      </c>
      <c r="AE5" s="42" t="s">
        <v>140</v>
      </c>
      <c r="AF5" s="42" t="s">
        <v>141</v>
      </c>
      <c r="AG5" s="42" t="s">
        <v>109</v>
      </c>
      <c r="AH5" s="42" t="s">
        <v>142</v>
      </c>
      <c r="AI5" s="42" t="s">
        <v>143</v>
      </c>
      <c r="AJ5" s="42" t="s">
        <v>144</v>
      </c>
      <c r="AK5" s="42"/>
      <c r="AL5" s="42"/>
      <c r="AM5" s="42" t="s">
        <v>145</v>
      </c>
      <c r="AN5" s="42" t="s">
        <v>146</v>
      </c>
      <c r="AO5" s="42" t="s">
        <v>147</v>
      </c>
      <c r="AQ5" s="42" t="s">
        <v>148</v>
      </c>
      <c r="AR5" s="42" t="s">
        <v>149</v>
      </c>
      <c r="AS5" s="42" t="s">
        <v>150</v>
      </c>
      <c r="AU5" s="42"/>
      <c r="AV5" s="45" t="s">
        <v>151</v>
      </c>
      <c r="AW5" s="42" t="s">
        <v>152</v>
      </c>
      <c r="AX5" s="42" t="s">
        <v>153</v>
      </c>
      <c r="AZ5" s="42"/>
      <c r="BA5" s="42" t="s">
        <v>154</v>
      </c>
      <c r="BB5" s="42" t="s">
        <v>155</v>
      </c>
      <c r="BC5" s="42" t="s">
        <v>156</v>
      </c>
      <c r="BD5" s="42" t="s">
        <v>157</v>
      </c>
      <c r="BE5" s="42"/>
      <c r="BF5" s="42" t="s">
        <v>158</v>
      </c>
      <c r="BG5" s="42" t="s">
        <v>1887</v>
      </c>
      <c r="BH5" s="42" t="s">
        <v>2046</v>
      </c>
      <c r="BI5" s="42" t="s">
        <v>2047</v>
      </c>
      <c r="BJ5" s="42"/>
      <c r="BK5" s="42"/>
      <c r="BL5" s="35">
        <v>45292</v>
      </c>
      <c r="BM5" s="37"/>
      <c r="BN5" s="36"/>
      <c r="BO5" s="37"/>
    </row>
    <row r="6" spans="1:1046" ht="38.25" customHeight="1" x14ac:dyDescent="0.25">
      <c r="B6" s="231" t="s">
        <v>162</v>
      </c>
      <c r="C6" s="231"/>
      <c r="D6" s="232"/>
      <c r="E6" s="232"/>
      <c r="F6" s="225" t="s">
        <v>2133</v>
      </c>
      <c r="G6" s="27" t="s">
        <v>84</v>
      </c>
      <c r="H6" s="44"/>
      <c r="I6" s="44"/>
      <c r="J6" s="44"/>
      <c r="K6" s="44"/>
      <c r="L6" s="44"/>
      <c r="M6" s="44"/>
      <c r="N6" s="44"/>
      <c r="O6" s="44"/>
      <c r="P6" s="44"/>
      <c r="Q6" s="44"/>
      <c r="R6" s="44"/>
      <c r="S6" s="44"/>
      <c r="T6" s="44"/>
      <c r="U6" s="44"/>
      <c r="V6" s="44"/>
      <c r="W6" s="44"/>
      <c r="X6" s="44" t="s">
        <v>163</v>
      </c>
      <c r="Y6" s="44" t="s">
        <v>164</v>
      </c>
      <c r="Z6" s="44" t="s">
        <v>165</v>
      </c>
      <c r="AA6" s="44" t="s">
        <v>166</v>
      </c>
      <c r="AB6" s="44" t="s">
        <v>167</v>
      </c>
      <c r="AC6" s="44" t="s">
        <v>168</v>
      </c>
      <c r="AD6" s="44" t="s">
        <v>169</v>
      </c>
      <c r="AE6" s="44" t="s">
        <v>169</v>
      </c>
      <c r="AF6" s="44"/>
      <c r="AG6" s="44"/>
      <c r="AH6" s="44"/>
      <c r="AI6" s="44"/>
      <c r="AJ6" s="44"/>
      <c r="AK6" s="44"/>
      <c r="AL6" s="44"/>
      <c r="AM6" s="44"/>
      <c r="AN6" s="44"/>
      <c r="AO6" s="44"/>
      <c r="AP6" s="44"/>
      <c r="AQ6" s="44"/>
      <c r="AR6" s="44"/>
      <c r="AS6" s="44" t="s">
        <v>170</v>
      </c>
      <c r="AT6" s="44" t="s">
        <v>171</v>
      </c>
      <c r="AU6" s="44"/>
      <c r="AV6" s="44"/>
      <c r="AW6" s="44"/>
      <c r="AX6" s="44"/>
      <c r="AY6" s="44"/>
      <c r="AZ6" s="44"/>
      <c r="BA6" s="44"/>
      <c r="BB6" s="44"/>
      <c r="BC6" s="44"/>
      <c r="BD6" s="44"/>
      <c r="BE6" s="44"/>
      <c r="BF6" s="44"/>
      <c r="BG6" s="44"/>
      <c r="BH6" s="44"/>
      <c r="BI6" s="44"/>
      <c r="BJ6" s="44"/>
      <c r="BK6" s="44"/>
      <c r="BL6" s="40" t="s">
        <v>159</v>
      </c>
      <c r="BM6" s="38" t="s">
        <v>160</v>
      </c>
      <c r="BN6" s="38">
        <v>45597</v>
      </c>
      <c r="BO6" s="38" t="s">
        <v>161</v>
      </c>
    </row>
    <row r="7" spans="1:1046" ht="114.75" customHeight="1" x14ac:dyDescent="0.25">
      <c r="B7" s="231"/>
      <c r="C7" s="231"/>
      <c r="D7" s="232"/>
      <c r="E7" s="232"/>
      <c r="F7" s="225"/>
      <c r="G7" s="5" t="s">
        <v>120</v>
      </c>
      <c r="H7" s="45"/>
      <c r="I7" s="45"/>
      <c r="J7" s="42"/>
      <c r="K7" s="42"/>
      <c r="L7" s="45"/>
      <c r="M7" s="45"/>
      <c r="N7" s="45"/>
      <c r="P7" s="84"/>
      <c r="Q7" s="42"/>
      <c r="R7" s="45"/>
      <c r="S7" s="45"/>
      <c r="T7" s="89"/>
      <c r="U7" s="45"/>
      <c r="V7" s="45"/>
      <c r="W7" s="45"/>
      <c r="X7" s="127"/>
      <c r="Z7" s="128" t="s">
        <v>172</v>
      </c>
      <c r="AA7" s="128" t="s">
        <v>167</v>
      </c>
      <c r="AB7" s="128" t="s">
        <v>167</v>
      </c>
      <c r="AC7" s="89"/>
      <c r="AD7" s="45" t="s">
        <v>173</v>
      </c>
      <c r="AE7" s="45" t="s">
        <v>174</v>
      </c>
      <c r="AF7" s="45"/>
      <c r="AG7" s="89"/>
      <c r="AH7" s="45" t="s">
        <v>175</v>
      </c>
      <c r="AI7" s="45"/>
      <c r="AJ7" s="45"/>
      <c r="AK7" s="45"/>
      <c r="AL7" s="45"/>
      <c r="AM7" s="45"/>
      <c r="AN7" s="45" t="s">
        <v>176</v>
      </c>
      <c r="AO7" s="45" t="s">
        <v>177</v>
      </c>
      <c r="AQ7" s="89" t="s">
        <v>178</v>
      </c>
      <c r="AR7" s="45" t="s">
        <v>179</v>
      </c>
      <c r="AS7" s="45" t="s">
        <v>180</v>
      </c>
      <c r="AU7" s="89"/>
      <c r="AV7" s="42" t="s">
        <v>181</v>
      </c>
      <c r="AW7" s="45" t="s">
        <v>182</v>
      </c>
      <c r="AX7" s="45"/>
      <c r="AZ7" s="89" t="s">
        <v>183</v>
      </c>
      <c r="BA7" s="42" t="s">
        <v>184</v>
      </c>
      <c r="BB7" s="43" t="s">
        <v>185</v>
      </c>
      <c r="BC7" s="191" t="s">
        <v>186</v>
      </c>
      <c r="BD7" s="89" t="s">
        <v>2134</v>
      </c>
      <c r="BE7" s="45"/>
      <c r="BF7" s="45" t="s">
        <v>187</v>
      </c>
      <c r="BG7" s="45" t="s">
        <v>1889</v>
      </c>
      <c r="BH7" s="89"/>
      <c r="BI7" s="42" t="s">
        <v>2057</v>
      </c>
      <c r="BJ7" s="45"/>
      <c r="BK7" s="45"/>
      <c r="BL7" s="35"/>
      <c r="BM7" s="37"/>
      <c r="BN7" s="36"/>
      <c r="BO7" s="37"/>
    </row>
    <row r="8" spans="1:1046" ht="57" customHeight="1" x14ac:dyDescent="0.25">
      <c r="B8" s="277" t="s">
        <v>188</v>
      </c>
      <c r="C8" s="281" t="s">
        <v>189</v>
      </c>
      <c r="D8" s="232"/>
      <c r="E8" s="232"/>
      <c r="F8" s="225" t="s">
        <v>190</v>
      </c>
      <c r="G8" s="27" t="s">
        <v>84</v>
      </c>
      <c r="H8" s="248"/>
      <c r="I8" s="248"/>
      <c r="J8" s="248"/>
      <c r="K8" s="248"/>
      <c r="L8" s="248"/>
      <c r="M8" s="248"/>
      <c r="N8" s="248"/>
      <c r="O8" s="248"/>
      <c r="P8" s="248"/>
      <c r="Q8" s="248"/>
      <c r="R8" s="248"/>
      <c r="S8" s="248"/>
      <c r="T8" s="248"/>
      <c r="U8" s="248"/>
      <c r="V8" s="248"/>
      <c r="W8" s="248"/>
      <c r="X8" s="266"/>
      <c r="Y8" s="267"/>
      <c r="Z8" s="267"/>
      <c r="AA8" s="267"/>
      <c r="AB8" s="268"/>
      <c r="AC8" s="247" t="s">
        <v>191</v>
      </c>
      <c r="AD8" s="247"/>
      <c r="AE8" s="247"/>
      <c r="AF8" s="247"/>
      <c r="AG8" s="248" t="s">
        <v>192</v>
      </c>
      <c r="AH8" s="248"/>
      <c r="AI8" s="248"/>
      <c r="AJ8" s="248"/>
      <c r="AK8" s="45" t="s">
        <v>193</v>
      </c>
      <c r="AL8" s="45"/>
      <c r="AM8" s="45"/>
      <c r="AN8" s="45"/>
      <c r="AO8" s="44" t="s">
        <v>194</v>
      </c>
      <c r="AP8" s="248" t="s">
        <v>195</v>
      </c>
      <c r="AQ8" s="248"/>
      <c r="AR8" s="248"/>
      <c r="AS8" s="248"/>
      <c r="AT8" s="248"/>
      <c r="AU8" s="248"/>
      <c r="AV8" s="248"/>
      <c r="AW8" s="248"/>
      <c r="AX8" s="134"/>
      <c r="AY8" s="248"/>
      <c r="AZ8" s="248"/>
      <c r="BA8" s="248"/>
      <c r="BB8" s="248"/>
      <c r="BC8" s="248"/>
      <c r="BD8" s="248"/>
      <c r="BE8" s="248"/>
      <c r="BF8" s="248"/>
      <c r="BG8" s="248"/>
      <c r="BH8" s="248"/>
      <c r="BI8" s="248"/>
      <c r="BJ8" s="248"/>
      <c r="BK8" s="134"/>
      <c r="BL8" s="40"/>
      <c r="BM8" s="38"/>
      <c r="BN8" s="38"/>
      <c r="BO8" s="38"/>
    </row>
    <row r="9" spans="1:1046" ht="152.25" customHeight="1" x14ac:dyDescent="0.25">
      <c r="B9" s="277"/>
      <c r="C9" s="281"/>
      <c r="D9" s="232"/>
      <c r="E9" s="232"/>
      <c r="F9" s="225"/>
      <c r="G9" s="5" t="s">
        <v>120</v>
      </c>
      <c r="H9" s="264"/>
      <c r="I9" s="264"/>
      <c r="J9" s="264"/>
      <c r="K9" s="264"/>
      <c r="L9" s="244"/>
      <c r="M9" s="244"/>
      <c r="N9" s="244"/>
      <c r="O9" s="244"/>
      <c r="P9" s="244"/>
      <c r="Q9" s="244"/>
      <c r="R9" s="244"/>
      <c r="S9" s="244"/>
      <c r="T9" s="244"/>
      <c r="U9" s="244"/>
      <c r="V9" s="244"/>
      <c r="W9" s="244"/>
      <c r="X9" s="258"/>
      <c r="Y9" s="259"/>
      <c r="Z9" s="259"/>
      <c r="AA9" s="259"/>
      <c r="AB9" s="260"/>
      <c r="AC9" s="244"/>
      <c r="AD9" s="244"/>
      <c r="AE9" s="244"/>
      <c r="AF9" s="244"/>
      <c r="AG9" s="244"/>
      <c r="AH9" s="244"/>
      <c r="AI9" s="244"/>
      <c r="AJ9" s="244"/>
      <c r="AK9" s="255" t="s">
        <v>196</v>
      </c>
      <c r="AL9" s="262"/>
      <c r="AM9" s="262"/>
      <c r="AN9" s="262"/>
      <c r="AO9" s="263"/>
      <c r="AP9" s="244" t="s">
        <v>197</v>
      </c>
      <c r="AQ9" s="244"/>
      <c r="AR9" s="244"/>
      <c r="AS9" s="244"/>
      <c r="AT9" s="244"/>
      <c r="AU9" s="244"/>
      <c r="AV9" s="244"/>
      <c r="AW9" s="244"/>
      <c r="AX9" s="48"/>
      <c r="AY9" s="42"/>
      <c r="AZ9" s="42"/>
      <c r="BA9" s="42" t="s">
        <v>198</v>
      </c>
      <c r="BB9" s="42"/>
      <c r="BC9" s="244"/>
      <c r="BD9" s="244"/>
      <c r="BE9" s="244"/>
      <c r="BF9" s="244"/>
      <c r="BG9" s="244"/>
      <c r="BH9" s="244"/>
      <c r="BI9" s="244"/>
      <c r="BJ9" s="244"/>
      <c r="BK9" s="48"/>
      <c r="BL9" s="35"/>
      <c r="BM9" s="39"/>
      <c r="BN9" s="36"/>
      <c r="BO9" s="37"/>
    </row>
    <row r="10" spans="1:1046" ht="44.25" customHeight="1" x14ac:dyDescent="0.25">
      <c r="B10" s="277" t="s">
        <v>199</v>
      </c>
      <c r="C10" s="281" t="s">
        <v>200</v>
      </c>
      <c r="D10" s="232"/>
      <c r="E10" s="232"/>
      <c r="F10" s="225" t="s">
        <v>201</v>
      </c>
      <c r="G10" s="27" t="s">
        <v>84</v>
      </c>
      <c r="H10" s="248"/>
      <c r="I10" s="248"/>
      <c r="J10" s="248"/>
      <c r="K10" s="248"/>
      <c r="L10" s="248"/>
      <c r="M10" s="248"/>
      <c r="N10" s="248"/>
      <c r="O10" s="248"/>
      <c r="P10" s="248" t="s">
        <v>202</v>
      </c>
      <c r="Q10" s="248"/>
      <c r="R10" s="248"/>
      <c r="S10" s="248"/>
      <c r="T10" s="248" t="s">
        <v>203</v>
      </c>
      <c r="U10" s="248"/>
      <c r="V10" s="248"/>
      <c r="W10" s="248"/>
      <c r="X10" s="278" t="s">
        <v>204</v>
      </c>
      <c r="Y10" s="279"/>
      <c r="Z10" s="279"/>
      <c r="AA10" s="279"/>
      <c r="AB10" s="280"/>
      <c r="AC10" s="248" t="s">
        <v>204</v>
      </c>
      <c r="AD10" s="248"/>
      <c r="AE10" s="248"/>
      <c r="AF10" s="248"/>
      <c r="AG10" s="248" t="s">
        <v>205</v>
      </c>
      <c r="AH10" s="248"/>
      <c r="AI10" s="248"/>
      <c r="AJ10" s="248"/>
      <c r="AK10" s="266" t="s">
        <v>206</v>
      </c>
      <c r="AL10" s="267"/>
      <c r="AM10" s="267"/>
      <c r="AN10" s="267"/>
      <c r="AO10" s="268"/>
      <c r="AP10" s="248" t="s">
        <v>207</v>
      </c>
      <c r="AQ10" s="248"/>
      <c r="AR10" s="248"/>
      <c r="AS10" s="248"/>
      <c r="AT10" s="248" t="s">
        <v>208</v>
      </c>
      <c r="AU10" s="248"/>
      <c r="AV10" s="248"/>
      <c r="AW10" s="248"/>
      <c r="AX10" s="134" t="s">
        <v>209</v>
      </c>
      <c r="AY10" s="249" t="s">
        <v>209</v>
      </c>
      <c r="AZ10" s="282"/>
      <c r="BA10" s="282"/>
      <c r="BB10" s="251"/>
      <c r="BC10" s="248"/>
      <c r="BD10" s="248"/>
      <c r="BE10" s="248"/>
      <c r="BF10" s="248"/>
      <c r="BG10" s="248"/>
      <c r="BH10" s="248"/>
      <c r="BI10" s="248"/>
      <c r="BJ10" s="248"/>
      <c r="BK10" s="134"/>
      <c r="BL10" s="40"/>
      <c r="BM10" s="38"/>
      <c r="BN10" s="38"/>
      <c r="BO10" s="38"/>
    </row>
    <row r="11" spans="1:1046" ht="171" customHeight="1" x14ac:dyDescent="0.25">
      <c r="B11" s="277"/>
      <c r="C11" s="281"/>
      <c r="D11" s="232"/>
      <c r="E11" s="232"/>
      <c r="F11" s="225"/>
      <c r="G11" s="5" t="s">
        <v>120</v>
      </c>
      <c r="H11" s="264"/>
      <c r="I11" s="264"/>
      <c r="J11" s="264"/>
      <c r="K11" s="264"/>
      <c r="L11" s="244"/>
      <c r="M11" s="244"/>
      <c r="N11" s="244"/>
      <c r="O11" s="244"/>
      <c r="P11" s="272" t="s">
        <v>210</v>
      </c>
      <c r="Q11" s="272"/>
      <c r="R11" s="272"/>
      <c r="S11" s="272"/>
      <c r="T11" s="244" t="s">
        <v>211</v>
      </c>
      <c r="U11" s="244"/>
      <c r="V11" s="244"/>
      <c r="W11" s="244"/>
      <c r="X11" s="273" t="s">
        <v>212</v>
      </c>
      <c r="Y11" s="274"/>
      <c r="Z11" s="274"/>
      <c r="AA11" s="274"/>
      <c r="AB11" s="275"/>
      <c r="AC11" s="244" t="s">
        <v>213</v>
      </c>
      <c r="AD11" s="244"/>
      <c r="AE11" s="244"/>
      <c r="AF11" s="244"/>
      <c r="AG11" s="276" t="s">
        <v>214</v>
      </c>
      <c r="AH11" s="244"/>
      <c r="AI11" s="244"/>
      <c r="AJ11" s="244"/>
      <c r="AK11" s="255" t="s">
        <v>215</v>
      </c>
      <c r="AL11" s="262"/>
      <c r="AM11" s="262"/>
      <c r="AN11" s="262"/>
      <c r="AO11" s="263"/>
      <c r="AP11" s="255" t="s">
        <v>216</v>
      </c>
      <c r="AQ11" s="256"/>
      <c r="AR11" s="256"/>
      <c r="AS11" s="256"/>
      <c r="AT11" s="255"/>
      <c r="AU11" s="256"/>
      <c r="AV11" s="256"/>
      <c r="AW11" s="256"/>
      <c r="AX11" s="144" t="s">
        <v>217</v>
      </c>
      <c r="AY11" s="270" t="s">
        <v>218</v>
      </c>
      <c r="AZ11" s="271"/>
      <c r="BA11" s="271"/>
      <c r="BB11" s="271"/>
      <c r="BC11" s="255"/>
      <c r="BD11" s="256"/>
      <c r="BE11" s="256"/>
      <c r="BF11" s="256"/>
      <c r="BG11" s="255"/>
      <c r="BH11" s="256"/>
      <c r="BI11" s="256"/>
      <c r="BJ11" s="256"/>
      <c r="BK11" s="144"/>
      <c r="BL11" s="145"/>
      <c r="BM11" s="39"/>
      <c r="BN11" s="79"/>
      <c r="BO11" s="37"/>
    </row>
    <row r="12" spans="1:1046" ht="81.75" hidden="1" customHeight="1" x14ac:dyDescent="0.25">
      <c r="B12" s="265" t="s">
        <v>219</v>
      </c>
      <c r="C12" s="265" t="s">
        <v>220</v>
      </c>
      <c r="D12" s="269"/>
      <c r="E12" s="232"/>
      <c r="F12" s="225" t="s">
        <v>221</v>
      </c>
      <c r="G12" s="27" t="s">
        <v>84</v>
      </c>
      <c r="H12" s="248"/>
      <c r="I12" s="248"/>
      <c r="J12" s="248"/>
      <c r="K12" s="248"/>
      <c r="L12" s="248"/>
      <c r="M12" s="248"/>
      <c r="N12" s="248"/>
      <c r="O12" s="248"/>
      <c r="P12" s="248"/>
      <c r="Q12" s="248"/>
      <c r="R12" s="248"/>
      <c r="S12" s="248"/>
      <c r="T12" s="248"/>
      <c r="U12" s="248"/>
      <c r="V12" s="248"/>
      <c r="W12" s="248"/>
      <c r="X12" s="266"/>
      <c r="Y12" s="267"/>
      <c r="Z12" s="267"/>
      <c r="AA12" s="267"/>
      <c r="AB12" s="268"/>
      <c r="AC12" s="248" t="s">
        <v>222</v>
      </c>
      <c r="AD12" s="248"/>
      <c r="AE12" s="248"/>
      <c r="AF12" s="248"/>
      <c r="AG12" s="248" t="s">
        <v>223</v>
      </c>
      <c r="AH12" s="248"/>
      <c r="AI12" s="248"/>
      <c r="AJ12" s="248"/>
      <c r="AK12" s="266"/>
      <c r="AL12" s="267"/>
      <c r="AM12" s="267"/>
      <c r="AN12" s="267"/>
      <c r="AO12" s="268"/>
      <c r="AP12" s="248"/>
      <c r="AQ12" s="248"/>
      <c r="AR12" s="248"/>
      <c r="AS12" s="248"/>
      <c r="AT12" s="248"/>
      <c r="AU12" s="248"/>
      <c r="AV12" s="248"/>
      <c r="AW12" s="248"/>
      <c r="AX12" s="134"/>
      <c r="AY12" s="247"/>
      <c r="AZ12" s="247"/>
      <c r="BA12" s="247"/>
      <c r="BB12" s="247"/>
      <c r="BC12" s="248"/>
      <c r="BD12" s="248"/>
      <c r="BE12" s="248"/>
      <c r="BF12" s="248"/>
      <c r="BG12" s="248"/>
      <c r="BH12" s="248"/>
      <c r="BI12" s="248"/>
      <c r="BJ12" s="248"/>
      <c r="BK12" s="134"/>
      <c r="BL12" s="40"/>
      <c r="BM12" s="38"/>
      <c r="BN12" s="38"/>
      <c r="BO12" s="38"/>
    </row>
    <row r="13" spans="1:1046" ht="22.5" hidden="1" customHeight="1" x14ac:dyDescent="0.25">
      <c r="B13" s="265"/>
      <c r="C13" s="265"/>
      <c r="D13" s="269"/>
      <c r="E13" s="232"/>
      <c r="F13" s="225"/>
      <c r="G13" s="5" t="s">
        <v>120</v>
      </c>
      <c r="H13" s="264"/>
      <c r="I13" s="264"/>
      <c r="J13" s="264"/>
      <c r="K13" s="264"/>
      <c r="L13" s="244"/>
      <c r="M13" s="244"/>
      <c r="N13" s="244"/>
      <c r="O13" s="244"/>
      <c r="P13" s="244"/>
      <c r="Q13" s="244"/>
      <c r="R13" s="244"/>
      <c r="S13" s="244"/>
      <c r="T13" s="244"/>
      <c r="U13" s="244"/>
      <c r="V13" s="244"/>
      <c r="W13" s="244"/>
      <c r="X13" s="258"/>
      <c r="Y13" s="259"/>
      <c r="Z13" s="259"/>
      <c r="AA13" s="259"/>
      <c r="AB13" s="260"/>
      <c r="AC13" s="244" t="s">
        <v>224</v>
      </c>
      <c r="AD13" s="244"/>
      <c r="AE13" s="244"/>
      <c r="AF13" s="244"/>
      <c r="AG13" s="244"/>
      <c r="AH13" s="244"/>
      <c r="AI13" s="244"/>
      <c r="AJ13" s="244"/>
      <c r="AK13" s="261"/>
      <c r="AL13" s="262"/>
      <c r="AM13" s="262"/>
      <c r="AN13" s="262"/>
      <c r="AO13" s="263"/>
      <c r="AP13" s="244"/>
      <c r="AQ13" s="244"/>
      <c r="AR13" s="244"/>
      <c r="AS13" s="244"/>
      <c r="AT13" s="244"/>
      <c r="AU13" s="244"/>
      <c r="AV13" s="244"/>
      <c r="AW13" s="244"/>
      <c r="AX13" s="48"/>
      <c r="AY13" s="252"/>
      <c r="AZ13" s="252"/>
      <c r="BA13" s="252"/>
      <c r="BB13" s="252"/>
      <c r="BC13" s="244"/>
      <c r="BD13" s="244"/>
      <c r="BE13" s="244"/>
      <c r="BF13" s="244"/>
      <c r="BG13" s="244"/>
      <c r="BH13" s="244"/>
      <c r="BI13" s="244"/>
      <c r="BJ13" s="244"/>
      <c r="BK13" s="48"/>
      <c r="BL13" s="35"/>
      <c r="BM13" s="39"/>
      <c r="BN13" s="36"/>
      <c r="BO13" s="37"/>
    </row>
    <row r="14" spans="1:1046" ht="38.25" hidden="1" customHeight="1" x14ac:dyDescent="0.25">
      <c r="B14" s="250" t="s">
        <v>225</v>
      </c>
      <c r="C14" s="250" t="s">
        <v>80</v>
      </c>
      <c r="D14" s="232" t="s">
        <v>81</v>
      </c>
      <c r="E14" s="232" t="s">
        <v>81</v>
      </c>
      <c r="F14" s="225" t="s">
        <v>226</v>
      </c>
      <c r="G14" s="27" t="s">
        <v>84</v>
      </c>
      <c r="H14" s="248" t="s">
        <v>227</v>
      </c>
      <c r="I14" s="248"/>
      <c r="J14" s="248"/>
      <c r="K14" s="248"/>
      <c r="L14" s="248" t="s">
        <v>228</v>
      </c>
      <c r="M14" s="248"/>
      <c r="N14" s="248"/>
      <c r="O14" s="248"/>
      <c r="P14" s="248" t="s">
        <v>229</v>
      </c>
      <c r="Q14" s="248"/>
      <c r="R14" s="248"/>
      <c r="S14" s="248"/>
      <c r="T14" s="247" t="s">
        <v>230</v>
      </c>
      <c r="U14" s="247"/>
      <c r="V14" s="247"/>
      <c r="W14" s="249"/>
      <c r="X14" s="248"/>
      <c r="Y14" s="248"/>
      <c r="Z14" s="248"/>
      <c r="AA14" s="248"/>
      <c r="AB14" s="248"/>
      <c r="AC14" s="251" t="s">
        <v>231</v>
      </c>
      <c r="AD14" s="247"/>
      <c r="AE14" s="247"/>
      <c r="AF14" s="247"/>
      <c r="AG14" s="247" t="s">
        <v>232</v>
      </c>
      <c r="AH14" s="247"/>
      <c r="AI14" s="247"/>
      <c r="AJ14" s="247"/>
      <c r="AK14" s="41"/>
      <c r="AL14" s="41"/>
      <c r="AM14" s="41"/>
      <c r="AN14" s="41"/>
      <c r="AO14" s="41"/>
      <c r="AP14" s="247" t="s">
        <v>232</v>
      </c>
      <c r="AQ14" s="247"/>
      <c r="AR14" s="247"/>
      <c r="AS14" s="247"/>
      <c r="AT14" s="247"/>
      <c r="AU14" s="247"/>
      <c r="AV14" s="247"/>
      <c r="AW14" s="247"/>
      <c r="AX14" s="41"/>
      <c r="AY14" s="247"/>
      <c r="AZ14" s="247"/>
      <c r="BA14" s="247"/>
      <c r="BB14" s="247"/>
      <c r="BC14" s="247"/>
      <c r="BD14" s="247"/>
      <c r="BE14" s="247"/>
      <c r="BF14" s="247"/>
      <c r="BG14" s="247"/>
      <c r="BH14" s="247"/>
      <c r="BI14" s="247"/>
      <c r="BJ14" s="247"/>
      <c r="BK14" s="41"/>
      <c r="BL14" s="38">
        <v>45493</v>
      </c>
      <c r="BM14" s="38">
        <v>45519</v>
      </c>
      <c r="BN14" s="38">
        <v>45565</v>
      </c>
      <c r="BO14" s="38">
        <v>45716</v>
      </c>
    </row>
    <row r="15" spans="1:1046" ht="54.75" hidden="1" customHeight="1" x14ac:dyDescent="0.25">
      <c r="B15" s="250"/>
      <c r="C15" s="250"/>
      <c r="D15" s="232"/>
      <c r="E15" s="232"/>
      <c r="F15" s="225"/>
      <c r="G15" s="5" t="s">
        <v>120</v>
      </c>
      <c r="H15" s="245" t="s">
        <v>233</v>
      </c>
      <c r="I15" s="245"/>
      <c r="J15" s="245"/>
      <c r="K15" s="245"/>
      <c r="L15" s="244"/>
      <c r="M15" s="244"/>
      <c r="N15" s="244"/>
      <c r="O15" s="244"/>
      <c r="P15" s="253" t="s">
        <v>234</v>
      </c>
      <c r="Q15" s="252"/>
      <c r="R15" s="252"/>
      <c r="S15" s="252"/>
      <c r="T15" s="244"/>
      <c r="U15" s="244"/>
      <c r="V15" s="244"/>
      <c r="W15" s="244"/>
      <c r="X15" s="254" t="s">
        <v>235</v>
      </c>
      <c r="Y15" s="254"/>
      <c r="Z15" s="254"/>
      <c r="AA15" s="254"/>
      <c r="AB15" s="254"/>
      <c r="AC15" s="255" t="s">
        <v>106</v>
      </c>
      <c r="AD15" s="256"/>
      <c r="AE15" s="256"/>
      <c r="AF15" s="257"/>
      <c r="AG15" s="244"/>
      <c r="AH15" s="244"/>
      <c r="AI15" s="244"/>
      <c r="AJ15" s="244"/>
      <c r="AK15" s="48"/>
      <c r="AL15" s="48"/>
      <c r="AM15" s="48"/>
      <c r="AN15" s="48"/>
      <c r="AO15" s="48"/>
      <c r="AP15" s="244"/>
      <c r="AQ15" s="244"/>
      <c r="AR15" s="244"/>
      <c r="AS15" s="244"/>
      <c r="AT15" s="244"/>
      <c r="AU15" s="244"/>
      <c r="AV15" s="244"/>
      <c r="AW15" s="244"/>
      <c r="AX15" s="48"/>
      <c r="AY15" s="252"/>
      <c r="AZ15" s="252"/>
      <c r="BA15" s="252"/>
      <c r="BB15" s="252"/>
      <c r="BC15" s="244"/>
      <c r="BD15" s="244"/>
      <c r="BE15" s="244"/>
      <c r="BF15" s="244"/>
      <c r="BG15" s="244"/>
      <c r="BH15" s="244"/>
      <c r="BI15" s="244"/>
      <c r="BJ15" s="244"/>
      <c r="BK15" s="48"/>
      <c r="BL15" s="35">
        <v>45493</v>
      </c>
      <c r="BM15" s="39"/>
      <c r="BN15" s="36"/>
      <c r="BO15" s="37"/>
    </row>
    <row r="16" spans="1:1046" ht="42" hidden="1" customHeight="1" x14ac:dyDescent="0.25">
      <c r="A16" s="71"/>
      <c r="B16" s="240" t="s">
        <v>236</v>
      </c>
      <c r="C16" s="240" t="s">
        <v>237</v>
      </c>
      <c r="D16" s="242" t="s">
        <v>81</v>
      </c>
      <c r="E16" s="242" t="s">
        <v>238</v>
      </c>
      <c r="F16" s="243"/>
      <c r="G16" s="72" t="s">
        <v>84</v>
      </c>
      <c r="H16" s="241" t="s">
        <v>239</v>
      </c>
      <c r="I16" s="241"/>
      <c r="J16" s="241"/>
      <c r="K16" s="241"/>
      <c r="L16" s="241" t="s">
        <v>240</v>
      </c>
      <c r="M16" s="241"/>
      <c r="N16" s="241"/>
      <c r="O16" s="241"/>
      <c r="P16" s="241" t="s">
        <v>241</v>
      </c>
      <c r="Q16" s="241"/>
      <c r="R16" s="241"/>
      <c r="S16" s="241"/>
      <c r="T16" s="241"/>
      <c r="U16" s="241"/>
      <c r="V16" s="241"/>
      <c r="W16" s="241"/>
      <c r="X16" s="241"/>
      <c r="Y16" s="241"/>
      <c r="Z16" s="241"/>
      <c r="AA16" s="241"/>
      <c r="AB16" s="90"/>
      <c r="AC16" s="241"/>
      <c r="AD16" s="241"/>
      <c r="AE16" s="241"/>
      <c r="AF16" s="241"/>
      <c r="AG16" s="241"/>
      <c r="AH16" s="241"/>
      <c r="AI16" s="241"/>
      <c r="AJ16" s="241"/>
      <c r="AK16" s="90"/>
      <c r="AL16" s="90"/>
      <c r="AM16" s="90"/>
      <c r="AN16" s="90"/>
      <c r="AO16" s="90"/>
      <c r="AP16" s="241"/>
      <c r="AQ16" s="241"/>
      <c r="AR16" s="241"/>
      <c r="AS16" s="241"/>
      <c r="AT16" s="241"/>
      <c r="AU16" s="241"/>
      <c r="AV16" s="241"/>
      <c r="AW16" s="241"/>
      <c r="AX16" s="90"/>
      <c r="AY16" s="246"/>
      <c r="AZ16" s="246"/>
      <c r="BA16" s="246"/>
      <c r="BB16" s="246"/>
      <c r="BC16" s="241"/>
      <c r="BD16" s="241"/>
      <c r="BE16" s="241"/>
      <c r="BF16" s="241"/>
      <c r="BG16" s="241"/>
      <c r="BH16" s="241"/>
      <c r="BI16" s="241"/>
      <c r="BJ16" s="241"/>
      <c r="BK16" s="90"/>
      <c r="BL16" s="80"/>
      <c r="BM16" s="81"/>
      <c r="BN16" s="81"/>
      <c r="BO16" s="82"/>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71"/>
      <c r="LQ16" s="71"/>
      <c r="LR16" s="71"/>
      <c r="LS16" s="71"/>
      <c r="LT16" s="71"/>
      <c r="LU16" s="71"/>
      <c r="LV16" s="71"/>
      <c r="LW16" s="71"/>
      <c r="LX16" s="71"/>
      <c r="LY16" s="71"/>
      <c r="LZ16" s="71"/>
      <c r="MA16" s="71"/>
      <c r="MB16" s="71"/>
      <c r="MC16" s="71"/>
      <c r="MD16" s="71"/>
      <c r="ME16" s="71"/>
      <c r="MF16" s="71"/>
      <c r="MG16" s="71"/>
      <c r="MH16" s="71"/>
      <c r="MI16" s="71"/>
      <c r="MJ16" s="71"/>
      <c r="MK16" s="71"/>
      <c r="ML16" s="71"/>
      <c r="MM16" s="71"/>
      <c r="MN16" s="71"/>
      <c r="MO16" s="71"/>
      <c r="MP16" s="71"/>
      <c r="MQ16" s="71"/>
      <c r="MR16" s="71"/>
      <c r="MS16" s="71"/>
      <c r="MT16" s="71"/>
      <c r="MU16" s="71"/>
      <c r="MV16" s="71"/>
      <c r="MW16" s="71"/>
      <c r="MX16" s="71"/>
      <c r="MY16" s="71"/>
      <c r="MZ16" s="71"/>
      <c r="NA16" s="71"/>
      <c r="NB16" s="71"/>
      <c r="NC16" s="71"/>
      <c r="ND16" s="71"/>
      <c r="NE16" s="71"/>
      <c r="NF16" s="71"/>
      <c r="NG16" s="71"/>
      <c r="NH16" s="71"/>
      <c r="NI16" s="71"/>
      <c r="NJ16" s="71"/>
      <c r="NK16" s="71"/>
      <c r="NL16" s="71"/>
      <c r="NM16" s="71"/>
      <c r="NN16" s="71"/>
      <c r="NO16" s="71"/>
      <c r="NP16" s="71"/>
      <c r="NQ16" s="71"/>
      <c r="NR16" s="71"/>
      <c r="NS16" s="71"/>
      <c r="NT16" s="71"/>
      <c r="NU16" s="71"/>
      <c r="NV16" s="71"/>
      <c r="NW16" s="71"/>
      <c r="NX16" s="71"/>
      <c r="NY16" s="71"/>
      <c r="NZ16" s="71"/>
      <c r="OA16" s="71"/>
      <c r="OB16" s="71"/>
      <c r="OC16" s="71"/>
      <c r="OD16" s="71"/>
      <c r="OE16" s="71"/>
      <c r="OF16" s="71"/>
      <c r="OG16" s="71"/>
      <c r="OH16" s="71"/>
      <c r="OI16" s="71"/>
      <c r="OJ16" s="71"/>
      <c r="OK16" s="71"/>
      <c r="OL16" s="71"/>
      <c r="OM16" s="71"/>
      <c r="ON16" s="71"/>
      <c r="OO16" s="71"/>
      <c r="OP16" s="71"/>
      <c r="OQ16" s="71"/>
      <c r="OR16" s="71"/>
      <c r="OS16" s="71"/>
      <c r="OT16" s="71"/>
      <c r="OU16" s="71"/>
      <c r="OV16" s="71"/>
      <c r="OW16" s="71"/>
      <c r="OX16" s="71"/>
      <c r="OY16" s="71"/>
      <c r="OZ16" s="71"/>
      <c r="PA16" s="71"/>
      <c r="PB16" s="71"/>
      <c r="PC16" s="71"/>
      <c r="PD16" s="71"/>
      <c r="PE16" s="71"/>
      <c r="PF16" s="71"/>
      <c r="PG16" s="71"/>
      <c r="PH16" s="71"/>
      <c r="PI16" s="71"/>
      <c r="PJ16" s="71"/>
      <c r="PK16" s="71"/>
      <c r="PL16" s="71"/>
      <c r="PM16" s="71"/>
      <c r="PN16" s="71"/>
      <c r="PO16" s="71"/>
      <c r="PP16" s="71"/>
      <c r="PQ16" s="71"/>
      <c r="PR16" s="71"/>
      <c r="PS16" s="71"/>
      <c r="PT16" s="71"/>
      <c r="PU16" s="71"/>
      <c r="PV16" s="71"/>
      <c r="PW16" s="71"/>
      <c r="PX16" s="71"/>
      <c r="PY16" s="71"/>
      <c r="PZ16" s="71"/>
      <c r="QA16" s="71"/>
      <c r="QB16" s="71"/>
      <c r="QC16" s="71"/>
      <c r="QD16" s="71"/>
      <c r="QE16" s="71"/>
      <c r="QF16" s="71"/>
      <c r="QG16" s="71"/>
      <c r="QH16" s="71"/>
      <c r="QI16" s="71"/>
      <c r="QJ16" s="71"/>
      <c r="QK16" s="71"/>
      <c r="QL16" s="71"/>
      <c r="QM16" s="71"/>
      <c r="QN16" s="71"/>
      <c r="QO16" s="71"/>
      <c r="QP16" s="71"/>
      <c r="QQ16" s="71"/>
      <c r="QR16" s="71"/>
      <c r="QS16" s="71"/>
      <c r="QT16" s="71"/>
      <c r="QU16" s="71"/>
      <c r="QV16" s="71"/>
      <c r="QW16" s="71"/>
      <c r="QX16" s="71"/>
      <c r="QY16" s="71"/>
      <c r="QZ16" s="71"/>
      <c r="RA16" s="71"/>
      <c r="RB16" s="71"/>
      <c r="RC16" s="71"/>
      <c r="RD16" s="71"/>
      <c r="RE16" s="71"/>
      <c r="RF16" s="71"/>
      <c r="RG16" s="71"/>
      <c r="RH16" s="71"/>
      <c r="RI16" s="71"/>
      <c r="RJ16" s="71"/>
      <c r="RK16" s="71"/>
      <c r="RL16" s="71"/>
      <c r="RM16" s="71"/>
      <c r="RN16" s="71"/>
      <c r="RO16" s="71"/>
      <c r="RP16" s="71"/>
      <c r="RQ16" s="71"/>
      <c r="RR16" s="71"/>
      <c r="RS16" s="71"/>
      <c r="RT16" s="71"/>
      <c r="RU16" s="71"/>
      <c r="RV16" s="71"/>
      <c r="RW16" s="71"/>
      <c r="RX16" s="71"/>
      <c r="RY16" s="71"/>
      <c r="RZ16" s="71"/>
      <c r="SA16" s="71"/>
      <c r="SB16" s="71"/>
      <c r="SC16" s="71"/>
      <c r="SD16" s="71"/>
      <c r="SE16" s="71"/>
      <c r="SF16" s="71"/>
      <c r="SG16" s="71"/>
      <c r="SH16" s="71"/>
      <c r="SI16" s="71"/>
      <c r="SJ16" s="71"/>
      <c r="SK16" s="71"/>
      <c r="SL16" s="71"/>
      <c r="SM16" s="71"/>
      <c r="SN16" s="71"/>
      <c r="SO16" s="71"/>
      <c r="SP16" s="71"/>
      <c r="SQ16" s="71"/>
      <c r="SR16" s="71"/>
      <c r="SS16" s="71"/>
      <c r="ST16" s="71"/>
      <c r="SU16" s="71"/>
      <c r="SV16" s="71"/>
      <c r="SW16" s="71"/>
      <c r="SX16" s="71"/>
      <c r="SY16" s="71"/>
      <c r="SZ16" s="71"/>
      <c r="TA16" s="71"/>
      <c r="TB16" s="71"/>
      <c r="TC16" s="71"/>
      <c r="TD16" s="71"/>
      <c r="TE16" s="71"/>
      <c r="TF16" s="71"/>
      <c r="TG16" s="71"/>
      <c r="TH16" s="71"/>
      <c r="TI16" s="71"/>
      <c r="TJ16" s="71"/>
      <c r="TK16" s="71"/>
      <c r="TL16" s="71"/>
      <c r="TM16" s="71"/>
      <c r="TN16" s="71"/>
      <c r="TO16" s="71"/>
      <c r="TP16" s="71"/>
      <c r="TQ16" s="71"/>
      <c r="TR16" s="71"/>
      <c r="TS16" s="71"/>
      <c r="TT16" s="71"/>
      <c r="TU16" s="71"/>
      <c r="TV16" s="71"/>
      <c r="TW16" s="71"/>
      <c r="TX16" s="71"/>
      <c r="TY16" s="71"/>
      <c r="TZ16" s="71"/>
      <c r="UA16" s="71"/>
      <c r="UB16" s="71"/>
      <c r="UC16" s="71"/>
      <c r="UD16" s="71"/>
      <c r="UE16" s="71"/>
      <c r="UF16" s="71"/>
      <c r="UG16" s="71"/>
      <c r="UH16" s="71"/>
      <c r="UI16" s="71"/>
      <c r="UJ16" s="71"/>
      <c r="UK16" s="71"/>
      <c r="UL16" s="71"/>
      <c r="UM16" s="71"/>
      <c r="UN16" s="71"/>
      <c r="UO16" s="71"/>
      <c r="UP16" s="71"/>
      <c r="UQ16" s="71"/>
      <c r="UR16" s="71"/>
      <c r="US16" s="71"/>
      <c r="UT16" s="71"/>
      <c r="UU16" s="71"/>
      <c r="UV16" s="71"/>
      <c r="UW16" s="71"/>
      <c r="UX16" s="71"/>
      <c r="UY16" s="71"/>
      <c r="UZ16" s="71"/>
      <c r="VA16" s="71"/>
      <c r="VB16" s="71"/>
      <c r="VC16" s="71"/>
      <c r="VD16" s="71"/>
      <c r="VE16" s="71"/>
      <c r="VF16" s="71"/>
      <c r="VG16" s="71"/>
      <c r="VH16" s="71"/>
      <c r="VI16" s="71"/>
      <c r="VJ16" s="71"/>
      <c r="VK16" s="71"/>
      <c r="VL16" s="71"/>
      <c r="VM16" s="71"/>
      <c r="VN16" s="71"/>
      <c r="VO16" s="71"/>
      <c r="VP16" s="71"/>
      <c r="VQ16" s="71"/>
      <c r="VR16" s="71"/>
      <c r="VS16" s="71"/>
      <c r="VT16" s="71"/>
      <c r="VU16" s="71"/>
      <c r="VV16" s="71"/>
      <c r="VW16" s="71"/>
      <c r="VX16" s="71"/>
      <c r="VY16" s="71"/>
      <c r="VZ16" s="71"/>
      <c r="WA16" s="71"/>
      <c r="WB16" s="71"/>
      <c r="WC16" s="71"/>
      <c r="WD16" s="71"/>
      <c r="WE16" s="71"/>
      <c r="WF16" s="71"/>
      <c r="WG16" s="71"/>
      <c r="WH16" s="71"/>
      <c r="WI16" s="71"/>
      <c r="WJ16" s="71"/>
      <c r="WK16" s="71"/>
      <c r="WL16" s="71"/>
      <c r="WM16" s="71"/>
      <c r="WN16" s="71"/>
      <c r="WO16" s="71"/>
      <c r="WP16" s="71"/>
      <c r="WQ16" s="71"/>
      <c r="WR16" s="71"/>
      <c r="WS16" s="71"/>
      <c r="WT16" s="71"/>
      <c r="WU16" s="71"/>
      <c r="WV16" s="71"/>
      <c r="WW16" s="71"/>
      <c r="WX16" s="71"/>
      <c r="WY16" s="71"/>
      <c r="WZ16" s="71"/>
      <c r="XA16" s="71"/>
      <c r="XB16" s="71"/>
      <c r="XC16" s="71"/>
      <c r="XD16" s="71"/>
      <c r="XE16" s="71"/>
      <c r="XF16" s="71"/>
      <c r="XG16" s="71"/>
      <c r="XH16" s="71"/>
      <c r="XI16" s="71"/>
      <c r="XJ16" s="71"/>
      <c r="XK16" s="71"/>
      <c r="XL16" s="71"/>
      <c r="XM16" s="71"/>
      <c r="XN16" s="71"/>
      <c r="XO16" s="71"/>
      <c r="XP16" s="71"/>
      <c r="XQ16" s="71"/>
      <c r="XR16" s="71"/>
      <c r="XS16" s="71"/>
      <c r="XT16" s="71"/>
      <c r="XU16" s="71"/>
      <c r="XV16" s="71"/>
      <c r="XW16" s="71"/>
      <c r="XX16" s="71"/>
      <c r="XY16" s="71"/>
      <c r="XZ16" s="71"/>
      <c r="YA16" s="71"/>
      <c r="YB16" s="71"/>
      <c r="YC16" s="71"/>
      <c r="YD16" s="71"/>
      <c r="YE16" s="71"/>
      <c r="YF16" s="71"/>
      <c r="YG16" s="71"/>
      <c r="YH16" s="71"/>
      <c r="YI16" s="71"/>
      <c r="YJ16" s="71"/>
      <c r="YK16" s="71"/>
      <c r="YL16" s="71"/>
      <c r="YM16" s="71"/>
      <c r="YN16" s="71"/>
      <c r="YO16" s="71"/>
      <c r="YP16" s="71"/>
      <c r="YQ16" s="71"/>
      <c r="YR16" s="71"/>
      <c r="YS16" s="71"/>
      <c r="YT16" s="71"/>
      <c r="YU16" s="71"/>
      <c r="YV16" s="71"/>
      <c r="YW16" s="71"/>
      <c r="YX16" s="71"/>
      <c r="YY16" s="71"/>
      <c r="YZ16" s="71"/>
      <c r="ZA16" s="71"/>
      <c r="ZB16" s="71"/>
      <c r="ZC16" s="71"/>
      <c r="ZD16" s="71"/>
      <c r="ZE16" s="71"/>
      <c r="ZF16" s="71"/>
      <c r="ZG16" s="71"/>
      <c r="ZH16" s="71"/>
      <c r="ZI16" s="71"/>
      <c r="ZJ16" s="71"/>
      <c r="ZK16" s="71"/>
      <c r="ZL16" s="71"/>
      <c r="ZM16" s="71"/>
      <c r="ZN16" s="71"/>
      <c r="ZO16" s="71"/>
      <c r="ZP16" s="71"/>
      <c r="ZQ16" s="71"/>
      <c r="ZR16" s="71"/>
      <c r="ZS16" s="71"/>
      <c r="ZT16" s="71"/>
      <c r="ZU16" s="71"/>
      <c r="ZV16" s="71"/>
      <c r="ZW16" s="71"/>
      <c r="ZX16" s="71"/>
      <c r="ZY16" s="71"/>
      <c r="ZZ16" s="71"/>
      <c r="AAA16" s="71"/>
      <c r="AAB16" s="71"/>
      <c r="AAC16" s="71"/>
      <c r="AAD16" s="71"/>
      <c r="AAE16" s="71"/>
      <c r="AAF16" s="71"/>
      <c r="AAG16" s="71"/>
      <c r="AAH16" s="71"/>
      <c r="AAI16" s="71"/>
      <c r="AAJ16" s="71"/>
      <c r="AAK16" s="71"/>
      <c r="AAL16" s="71"/>
      <c r="AAM16" s="71"/>
      <c r="AAN16" s="71"/>
      <c r="AAO16" s="71"/>
      <c r="AAP16" s="71"/>
      <c r="AAQ16" s="71"/>
      <c r="AAR16" s="71"/>
      <c r="AAS16" s="71"/>
      <c r="AAT16" s="71"/>
      <c r="AAU16" s="71"/>
      <c r="AAV16" s="71"/>
      <c r="AAW16" s="71"/>
      <c r="AAX16" s="71"/>
      <c r="AAY16" s="71"/>
      <c r="AAZ16" s="71"/>
      <c r="ABA16" s="71"/>
      <c r="ABB16" s="71"/>
      <c r="ABC16" s="71"/>
      <c r="ABD16" s="71"/>
      <c r="ABE16" s="71"/>
      <c r="ABF16" s="71"/>
      <c r="ABG16" s="71"/>
      <c r="ABH16" s="71"/>
      <c r="ABI16" s="71"/>
      <c r="ABJ16" s="71"/>
      <c r="ABK16" s="71"/>
      <c r="ABL16" s="71"/>
      <c r="ABM16" s="71"/>
      <c r="ABN16" s="71"/>
      <c r="ABO16" s="71"/>
      <c r="ABP16" s="71"/>
      <c r="ABQ16" s="71"/>
      <c r="ABR16" s="71"/>
      <c r="ABS16" s="71"/>
      <c r="ABT16" s="71"/>
      <c r="ABU16" s="71"/>
      <c r="ABV16" s="71"/>
      <c r="ABW16" s="71"/>
      <c r="ABX16" s="71"/>
      <c r="ABY16" s="71"/>
      <c r="ABZ16" s="71"/>
      <c r="ACA16" s="71"/>
      <c r="ACB16" s="71"/>
      <c r="ACC16" s="71"/>
      <c r="ACD16" s="71"/>
      <c r="ACE16" s="71"/>
      <c r="ACF16" s="71"/>
      <c r="ACG16" s="71"/>
      <c r="ACH16" s="71"/>
      <c r="ACI16" s="71"/>
      <c r="ACJ16" s="71"/>
      <c r="ACK16" s="71"/>
      <c r="ACL16" s="71"/>
      <c r="ACM16" s="71"/>
      <c r="ACN16" s="71"/>
      <c r="ACO16" s="71"/>
      <c r="ACP16" s="71"/>
      <c r="ACQ16" s="71"/>
      <c r="ACR16" s="71"/>
      <c r="ACS16" s="71"/>
      <c r="ACT16" s="71"/>
      <c r="ACU16" s="71"/>
      <c r="ACV16" s="71"/>
      <c r="ACW16" s="71"/>
      <c r="ACX16" s="71"/>
      <c r="ACY16" s="71"/>
      <c r="ACZ16" s="71"/>
      <c r="ADA16" s="71"/>
      <c r="ADB16" s="71"/>
      <c r="ADC16" s="71"/>
      <c r="ADD16" s="71"/>
      <c r="ADE16" s="71"/>
      <c r="ADF16" s="71"/>
      <c r="ADG16" s="71"/>
      <c r="ADH16" s="71"/>
      <c r="ADI16" s="71"/>
      <c r="ADJ16" s="71"/>
      <c r="ADK16" s="71"/>
      <c r="ADL16" s="71"/>
      <c r="ADM16" s="71"/>
      <c r="ADN16" s="71"/>
      <c r="ADO16" s="71"/>
      <c r="ADP16" s="71"/>
      <c r="ADQ16" s="71"/>
      <c r="ADR16" s="71"/>
      <c r="ADS16" s="71"/>
      <c r="ADT16" s="71"/>
      <c r="ADU16" s="71"/>
      <c r="ADV16" s="71"/>
      <c r="ADW16" s="71"/>
      <c r="ADX16" s="71"/>
      <c r="ADY16" s="71"/>
      <c r="ADZ16" s="71"/>
      <c r="AEA16" s="71"/>
      <c r="AEB16" s="71"/>
      <c r="AEC16" s="71"/>
      <c r="AED16" s="71"/>
      <c r="AEE16" s="71"/>
      <c r="AEF16" s="71"/>
      <c r="AEG16" s="71"/>
      <c r="AEH16" s="71"/>
      <c r="AEI16" s="71"/>
      <c r="AEJ16" s="71"/>
      <c r="AEK16" s="71"/>
      <c r="AEL16" s="71"/>
      <c r="AEM16" s="71"/>
      <c r="AEN16" s="71"/>
      <c r="AEO16" s="71"/>
      <c r="AEP16" s="71"/>
      <c r="AEQ16" s="71"/>
      <c r="AER16" s="71"/>
      <c r="AES16" s="71"/>
      <c r="AET16" s="71"/>
      <c r="AEU16" s="71"/>
      <c r="AEV16" s="71"/>
      <c r="AEW16" s="71"/>
      <c r="AEX16" s="71"/>
      <c r="AEY16" s="71"/>
      <c r="AEZ16" s="71"/>
      <c r="AFA16" s="71"/>
      <c r="AFB16" s="71"/>
      <c r="AFC16" s="71"/>
      <c r="AFD16" s="71"/>
      <c r="AFE16" s="71"/>
      <c r="AFF16" s="71"/>
      <c r="AFG16" s="71"/>
      <c r="AFH16" s="71"/>
      <c r="AFI16" s="71"/>
      <c r="AFJ16" s="71"/>
      <c r="AFK16" s="71"/>
      <c r="AFL16" s="71"/>
      <c r="AFM16" s="71"/>
      <c r="AFN16" s="71"/>
      <c r="AFO16" s="71"/>
      <c r="AFP16" s="71"/>
      <c r="AFQ16" s="71"/>
      <c r="AFR16" s="71"/>
      <c r="AFS16" s="71"/>
      <c r="AFT16" s="71"/>
      <c r="AFU16" s="71"/>
      <c r="AFV16" s="71"/>
      <c r="AFW16" s="71"/>
      <c r="AFX16" s="71"/>
      <c r="AFY16" s="71"/>
      <c r="AFZ16" s="71"/>
      <c r="AGA16" s="71"/>
      <c r="AGB16" s="71"/>
      <c r="AGC16" s="71"/>
      <c r="AGD16" s="71"/>
      <c r="AGE16" s="71"/>
      <c r="AGF16" s="71"/>
      <c r="AGG16" s="71"/>
      <c r="AGH16" s="71"/>
      <c r="AGI16" s="71"/>
      <c r="AGJ16" s="71"/>
      <c r="AGK16" s="71"/>
      <c r="AGL16" s="71"/>
      <c r="AGM16" s="71"/>
      <c r="AGN16" s="71"/>
      <c r="AGO16" s="71"/>
      <c r="AGP16" s="71"/>
      <c r="AGQ16" s="71"/>
      <c r="AGR16" s="71"/>
      <c r="AGS16" s="71"/>
      <c r="AGT16" s="71"/>
      <c r="AGU16" s="71"/>
      <c r="AGV16" s="71"/>
      <c r="AGW16" s="71"/>
      <c r="AGX16" s="71"/>
      <c r="AGY16" s="71"/>
      <c r="AGZ16" s="71"/>
      <c r="AHA16" s="71"/>
      <c r="AHB16" s="71"/>
      <c r="AHC16" s="71"/>
      <c r="AHD16" s="71"/>
      <c r="AHE16" s="71"/>
      <c r="AHF16" s="71"/>
      <c r="AHG16" s="71"/>
      <c r="AHH16" s="71"/>
      <c r="AHI16" s="71"/>
      <c r="AHJ16" s="71"/>
      <c r="AHK16" s="71"/>
      <c r="AHL16" s="71"/>
      <c r="AHM16" s="71"/>
      <c r="AHN16" s="71"/>
      <c r="AHO16" s="71"/>
      <c r="AHP16" s="71"/>
      <c r="AHQ16" s="71"/>
      <c r="AHR16" s="71"/>
      <c r="AHS16" s="71"/>
      <c r="AHT16" s="71"/>
      <c r="AHU16" s="71"/>
      <c r="AHV16" s="71"/>
      <c r="AHW16" s="71"/>
      <c r="AHX16" s="71"/>
      <c r="AHY16" s="71"/>
      <c r="AHZ16" s="71"/>
      <c r="AIA16" s="71"/>
      <c r="AIB16" s="71"/>
      <c r="AIC16" s="71"/>
      <c r="AID16" s="71"/>
      <c r="AIE16" s="71"/>
      <c r="AIF16" s="71"/>
      <c r="AIG16" s="71"/>
      <c r="AIH16" s="71"/>
      <c r="AII16" s="71"/>
      <c r="AIJ16" s="71"/>
      <c r="AIK16" s="71"/>
      <c r="AIL16" s="71"/>
      <c r="AIM16" s="71"/>
      <c r="AIN16" s="71"/>
      <c r="AIO16" s="71"/>
      <c r="AIP16" s="71"/>
      <c r="AIQ16" s="71"/>
      <c r="AIR16" s="71"/>
      <c r="AIS16" s="71"/>
      <c r="AIT16" s="71"/>
      <c r="AIU16" s="71"/>
      <c r="AIV16" s="71"/>
      <c r="AIW16" s="71"/>
      <c r="AIX16" s="71"/>
      <c r="AIY16" s="71"/>
      <c r="AIZ16" s="71"/>
      <c r="AJA16" s="71"/>
      <c r="AJB16" s="71"/>
      <c r="AJC16" s="71"/>
      <c r="AJD16" s="71"/>
      <c r="AJE16" s="71"/>
      <c r="AJF16" s="71"/>
      <c r="AJG16" s="71"/>
      <c r="AJH16" s="71"/>
      <c r="AJI16" s="71"/>
      <c r="AJJ16" s="71"/>
      <c r="AJK16" s="71"/>
      <c r="AJL16" s="71"/>
      <c r="AJM16" s="71"/>
      <c r="AJN16" s="71"/>
      <c r="AJO16" s="71"/>
      <c r="AJP16" s="71"/>
      <c r="AJQ16" s="71"/>
      <c r="AJR16" s="71"/>
      <c r="AJS16" s="71"/>
      <c r="AJT16" s="71"/>
      <c r="AJU16" s="71"/>
      <c r="AJV16" s="71"/>
      <c r="AJW16" s="71"/>
      <c r="AJX16" s="71"/>
      <c r="AJY16" s="71"/>
      <c r="AJZ16" s="71"/>
      <c r="AKA16" s="71"/>
      <c r="AKB16" s="71"/>
      <c r="AKC16" s="71"/>
      <c r="AKD16" s="71"/>
      <c r="AKE16" s="71"/>
      <c r="AKF16" s="71"/>
      <c r="AKG16" s="71"/>
      <c r="AKH16" s="71"/>
      <c r="AKI16" s="71"/>
      <c r="AKJ16" s="71"/>
      <c r="AKK16" s="71"/>
      <c r="AKL16" s="71"/>
      <c r="AKM16" s="71"/>
      <c r="AKN16" s="71"/>
      <c r="AKO16" s="71"/>
      <c r="AKP16" s="71"/>
      <c r="AKQ16" s="71"/>
      <c r="AKR16" s="71"/>
      <c r="AKS16" s="71"/>
      <c r="AKT16" s="71"/>
      <c r="AKU16" s="71"/>
      <c r="AKV16" s="71"/>
      <c r="AKW16" s="71"/>
      <c r="AKX16" s="71"/>
      <c r="AKY16" s="71"/>
      <c r="AKZ16" s="71"/>
      <c r="ALA16" s="71"/>
      <c r="ALB16" s="71"/>
      <c r="ALC16" s="71"/>
      <c r="ALD16" s="71"/>
      <c r="ALE16" s="71"/>
      <c r="ALF16" s="71"/>
      <c r="ALG16" s="71"/>
      <c r="ALH16" s="71"/>
      <c r="ALI16" s="71"/>
      <c r="ALJ16" s="71"/>
      <c r="ALK16" s="71"/>
      <c r="ALL16" s="71"/>
      <c r="ALM16" s="71"/>
      <c r="ALN16" s="71"/>
      <c r="ALO16" s="71"/>
      <c r="ALP16" s="71"/>
      <c r="ALQ16" s="71"/>
      <c r="ALR16" s="71"/>
      <c r="ALS16" s="71"/>
      <c r="ALT16" s="71"/>
      <c r="ALU16" s="71"/>
      <c r="ALV16" s="71"/>
      <c r="ALW16" s="71"/>
      <c r="ALX16" s="71"/>
      <c r="ALY16" s="71"/>
      <c r="ALZ16" s="71"/>
      <c r="AMA16" s="71"/>
      <c r="AMB16" s="71"/>
      <c r="AMC16" s="71"/>
      <c r="AMD16" s="71"/>
      <c r="AME16" s="71"/>
      <c r="AMF16" s="71"/>
      <c r="AMG16" s="71"/>
      <c r="AMH16" s="71"/>
      <c r="AMI16" s="71"/>
      <c r="AMJ16" s="71"/>
      <c r="AMK16" s="71"/>
      <c r="AML16" s="71"/>
      <c r="AMM16" s="71"/>
      <c r="AMN16" s="71"/>
      <c r="AMO16" s="71"/>
      <c r="AMP16" s="71"/>
      <c r="AMQ16" s="71"/>
      <c r="AMR16" s="71"/>
      <c r="AMS16" s="71"/>
      <c r="AMT16" s="71"/>
      <c r="AMU16" s="71"/>
      <c r="AMV16" s="71"/>
      <c r="AMW16" s="71"/>
      <c r="AMX16" s="71"/>
      <c r="AMY16" s="71"/>
      <c r="AMZ16" s="71"/>
      <c r="ANA16" s="71"/>
      <c r="ANB16" s="71"/>
      <c r="ANC16" s="71"/>
      <c r="AND16" s="71"/>
      <c r="ANE16" s="71"/>
      <c r="ANF16" s="71"/>
    </row>
    <row r="17" spans="1:1046" ht="43.5" hidden="1" customHeight="1" x14ac:dyDescent="0.25">
      <c r="A17" s="71"/>
      <c r="B17" s="240"/>
      <c r="C17" s="240"/>
      <c r="D17" s="242"/>
      <c r="E17" s="242"/>
      <c r="F17" s="243"/>
      <c r="G17" s="75" t="s">
        <v>120</v>
      </c>
      <c r="H17" s="238" t="s">
        <v>242</v>
      </c>
      <c r="I17" s="238"/>
      <c r="J17" s="238"/>
      <c r="K17" s="238"/>
      <c r="L17" s="238" t="s">
        <v>243</v>
      </c>
      <c r="M17" s="238"/>
      <c r="N17" s="238"/>
      <c r="O17" s="238"/>
      <c r="P17" s="238"/>
      <c r="Q17" s="238"/>
      <c r="R17" s="238"/>
      <c r="S17" s="238"/>
      <c r="T17" s="238"/>
      <c r="U17" s="238"/>
      <c r="V17" s="238"/>
      <c r="W17" s="238"/>
      <c r="X17" s="238"/>
      <c r="Y17" s="238"/>
      <c r="Z17" s="238"/>
      <c r="AA17" s="238"/>
      <c r="AB17" s="91"/>
      <c r="AC17" s="238"/>
      <c r="AD17" s="238"/>
      <c r="AE17" s="238"/>
      <c r="AF17" s="238"/>
      <c r="AG17" s="238"/>
      <c r="AH17" s="238"/>
      <c r="AI17" s="238"/>
      <c r="AJ17" s="238"/>
      <c r="AK17" s="91"/>
      <c r="AL17" s="91"/>
      <c r="AM17" s="91"/>
      <c r="AN17" s="91"/>
      <c r="AO17" s="91"/>
      <c r="AP17" s="238"/>
      <c r="AQ17" s="238"/>
      <c r="AR17" s="238"/>
      <c r="AS17" s="238"/>
      <c r="AT17" s="238"/>
      <c r="AU17" s="238"/>
      <c r="AV17" s="238"/>
      <c r="AW17" s="238"/>
      <c r="AX17" s="91"/>
      <c r="AY17" s="239"/>
      <c r="AZ17" s="239"/>
      <c r="BA17" s="239"/>
      <c r="BB17" s="239"/>
      <c r="BC17" s="238"/>
      <c r="BD17" s="238"/>
      <c r="BE17" s="238"/>
      <c r="BF17" s="238"/>
      <c r="BG17" s="238"/>
      <c r="BH17" s="238"/>
      <c r="BI17" s="238"/>
      <c r="BJ17" s="238"/>
      <c r="BK17" s="91"/>
      <c r="BL17" s="83"/>
      <c r="BM17" s="77"/>
      <c r="BN17" s="78"/>
      <c r="BO17" s="77"/>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c r="KI17" s="71"/>
      <c r="KJ17" s="71"/>
      <c r="KK17" s="71"/>
      <c r="KL17" s="71"/>
      <c r="KM17" s="71"/>
      <c r="KN17" s="71"/>
      <c r="KO17" s="71"/>
      <c r="KP17" s="71"/>
      <c r="KQ17" s="71"/>
      <c r="KR17" s="71"/>
      <c r="KS17" s="71"/>
      <c r="KT17" s="71"/>
      <c r="KU17" s="71"/>
      <c r="KV17" s="71"/>
      <c r="KW17" s="71"/>
      <c r="KX17" s="71"/>
      <c r="KY17" s="71"/>
      <c r="KZ17" s="71"/>
      <c r="LA17" s="71"/>
      <c r="LB17" s="71"/>
      <c r="LC17" s="71"/>
      <c r="LD17" s="71"/>
      <c r="LE17" s="71"/>
      <c r="LF17" s="71"/>
      <c r="LG17" s="71"/>
      <c r="LH17" s="71"/>
      <c r="LI17" s="71"/>
      <c r="LJ17" s="71"/>
      <c r="LK17" s="71"/>
      <c r="LL17" s="71"/>
      <c r="LM17" s="71"/>
      <c r="LN17" s="71"/>
      <c r="LO17" s="71"/>
      <c r="LP17" s="71"/>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71"/>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71"/>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c r="SH17" s="71"/>
      <c r="SI17" s="71"/>
      <c r="SJ17" s="71"/>
      <c r="SK17" s="71"/>
      <c r="SL17" s="71"/>
      <c r="SM17" s="71"/>
      <c r="SN17" s="71"/>
      <c r="SO17" s="71"/>
      <c r="SP17" s="71"/>
      <c r="SQ17" s="71"/>
      <c r="SR17" s="71"/>
      <c r="SS17" s="71"/>
      <c r="ST17" s="71"/>
      <c r="SU17" s="71"/>
      <c r="SV17" s="71"/>
      <c r="SW17" s="71"/>
      <c r="SX17" s="71"/>
      <c r="SY17" s="71"/>
      <c r="SZ17" s="71"/>
      <c r="TA17" s="71"/>
      <c r="TB17" s="71"/>
      <c r="TC17" s="71"/>
      <c r="TD17" s="71"/>
      <c r="TE17" s="71"/>
      <c r="TF17" s="71"/>
      <c r="TG17" s="71"/>
      <c r="TH17" s="71"/>
      <c r="TI17" s="71"/>
      <c r="TJ17" s="71"/>
      <c r="TK17" s="71"/>
      <c r="TL17" s="71"/>
      <c r="TM17" s="71"/>
      <c r="TN17" s="71"/>
      <c r="TO17" s="71"/>
      <c r="TP17" s="71"/>
      <c r="TQ17" s="71"/>
      <c r="TR17" s="71"/>
      <c r="TS17" s="71"/>
      <c r="TT17" s="71"/>
      <c r="TU17" s="71"/>
      <c r="TV17" s="71"/>
      <c r="TW17" s="71"/>
      <c r="TX17" s="71"/>
      <c r="TY17" s="71"/>
      <c r="TZ17" s="71"/>
      <c r="UA17" s="71"/>
      <c r="UB17" s="71"/>
      <c r="UC17" s="71"/>
      <c r="UD17" s="71"/>
      <c r="UE17" s="71"/>
      <c r="UF17" s="71"/>
      <c r="UG17" s="71"/>
      <c r="UH17" s="71"/>
      <c r="UI17" s="71"/>
      <c r="UJ17" s="71"/>
      <c r="UK17" s="71"/>
      <c r="UL17" s="71"/>
      <c r="UM17" s="71"/>
      <c r="UN17" s="71"/>
      <c r="UO17" s="71"/>
      <c r="UP17" s="71"/>
      <c r="UQ17" s="71"/>
      <c r="UR17" s="71"/>
      <c r="US17" s="71"/>
      <c r="UT17" s="71"/>
      <c r="UU17" s="71"/>
      <c r="UV17" s="71"/>
      <c r="UW17" s="71"/>
      <c r="UX17" s="71"/>
      <c r="UY17" s="71"/>
      <c r="UZ17" s="71"/>
      <c r="VA17" s="71"/>
      <c r="VB17" s="71"/>
      <c r="VC17" s="71"/>
      <c r="VD17" s="71"/>
      <c r="VE17" s="71"/>
      <c r="VF17" s="71"/>
      <c r="VG17" s="71"/>
      <c r="VH17" s="71"/>
      <c r="VI17" s="71"/>
      <c r="VJ17" s="71"/>
      <c r="VK17" s="71"/>
      <c r="VL17" s="71"/>
      <c r="VM17" s="71"/>
      <c r="VN17" s="71"/>
      <c r="VO17" s="71"/>
      <c r="VP17" s="71"/>
      <c r="VQ17" s="71"/>
      <c r="VR17" s="71"/>
      <c r="VS17" s="71"/>
      <c r="VT17" s="71"/>
      <c r="VU17" s="71"/>
      <c r="VV17" s="71"/>
      <c r="VW17" s="71"/>
      <c r="VX17" s="71"/>
      <c r="VY17" s="71"/>
      <c r="VZ17" s="71"/>
      <c r="WA17" s="71"/>
      <c r="WB17" s="71"/>
      <c r="WC17" s="71"/>
      <c r="WD17" s="71"/>
      <c r="WE17" s="71"/>
      <c r="WF17" s="71"/>
      <c r="WG17" s="71"/>
      <c r="WH17" s="71"/>
      <c r="WI17" s="71"/>
      <c r="WJ17" s="71"/>
      <c r="WK17" s="71"/>
      <c r="WL17" s="71"/>
      <c r="WM17" s="71"/>
      <c r="WN17" s="71"/>
      <c r="WO17" s="71"/>
      <c r="WP17" s="71"/>
      <c r="WQ17" s="71"/>
      <c r="WR17" s="71"/>
      <c r="WS17" s="71"/>
      <c r="WT17" s="71"/>
      <c r="WU17" s="71"/>
      <c r="WV17" s="71"/>
      <c r="WW17" s="71"/>
      <c r="WX17" s="71"/>
      <c r="WY17" s="71"/>
      <c r="WZ17" s="71"/>
      <c r="XA17" s="71"/>
      <c r="XB17" s="71"/>
      <c r="XC17" s="71"/>
      <c r="XD17" s="71"/>
      <c r="XE17" s="71"/>
      <c r="XF17" s="71"/>
      <c r="XG17" s="71"/>
      <c r="XH17" s="71"/>
      <c r="XI17" s="71"/>
      <c r="XJ17" s="71"/>
      <c r="XK17" s="71"/>
      <c r="XL17" s="71"/>
      <c r="XM17" s="71"/>
      <c r="XN17" s="71"/>
      <c r="XO17" s="71"/>
      <c r="XP17" s="71"/>
      <c r="XQ17" s="71"/>
      <c r="XR17" s="71"/>
      <c r="XS17" s="71"/>
      <c r="XT17" s="71"/>
      <c r="XU17" s="71"/>
      <c r="XV17" s="71"/>
      <c r="XW17" s="71"/>
      <c r="XX17" s="71"/>
      <c r="XY17" s="71"/>
      <c r="XZ17" s="71"/>
      <c r="YA17" s="71"/>
      <c r="YB17" s="71"/>
      <c r="YC17" s="71"/>
      <c r="YD17" s="71"/>
      <c r="YE17" s="71"/>
      <c r="YF17" s="71"/>
      <c r="YG17" s="71"/>
      <c r="YH17" s="71"/>
      <c r="YI17" s="71"/>
      <c r="YJ17" s="71"/>
      <c r="YK17" s="71"/>
      <c r="YL17" s="71"/>
      <c r="YM17" s="71"/>
      <c r="YN17" s="71"/>
      <c r="YO17" s="71"/>
      <c r="YP17" s="71"/>
      <c r="YQ17" s="71"/>
      <c r="YR17" s="71"/>
      <c r="YS17" s="71"/>
      <c r="YT17" s="71"/>
      <c r="YU17" s="71"/>
      <c r="YV17" s="71"/>
      <c r="YW17" s="71"/>
      <c r="YX17" s="71"/>
      <c r="YY17" s="71"/>
      <c r="YZ17" s="71"/>
      <c r="ZA17" s="71"/>
      <c r="ZB17" s="71"/>
      <c r="ZC17" s="71"/>
      <c r="ZD17" s="71"/>
      <c r="ZE17" s="71"/>
      <c r="ZF17" s="71"/>
      <c r="ZG17" s="71"/>
      <c r="ZH17" s="71"/>
      <c r="ZI17" s="71"/>
      <c r="ZJ17" s="71"/>
      <c r="ZK17" s="71"/>
      <c r="ZL17" s="71"/>
      <c r="ZM17" s="71"/>
      <c r="ZN17" s="71"/>
      <c r="ZO17" s="71"/>
      <c r="ZP17" s="71"/>
      <c r="ZQ17" s="71"/>
      <c r="ZR17" s="71"/>
      <c r="ZS17" s="71"/>
      <c r="ZT17" s="71"/>
      <c r="ZU17" s="71"/>
      <c r="ZV17" s="71"/>
      <c r="ZW17" s="71"/>
      <c r="ZX17" s="71"/>
      <c r="ZY17" s="71"/>
      <c r="ZZ17" s="71"/>
      <c r="AAA17" s="71"/>
      <c r="AAB17" s="71"/>
      <c r="AAC17" s="71"/>
      <c r="AAD17" s="71"/>
      <c r="AAE17" s="71"/>
      <c r="AAF17" s="71"/>
      <c r="AAG17" s="71"/>
      <c r="AAH17" s="71"/>
      <c r="AAI17" s="71"/>
      <c r="AAJ17" s="71"/>
      <c r="AAK17" s="71"/>
      <c r="AAL17" s="71"/>
      <c r="AAM17" s="71"/>
      <c r="AAN17" s="71"/>
      <c r="AAO17" s="71"/>
      <c r="AAP17" s="71"/>
      <c r="AAQ17" s="71"/>
      <c r="AAR17" s="71"/>
      <c r="AAS17" s="71"/>
      <c r="AAT17" s="71"/>
      <c r="AAU17" s="71"/>
      <c r="AAV17" s="71"/>
      <c r="AAW17" s="71"/>
      <c r="AAX17" s="71"/>
      <c r="AAY17" s="71"/>
      <c r="AAZ17" s="71"/>
      <c r="ABA17" s="71"/>
      <c r="ABB17" s="71"/>
      <c r="ABC17" s="71"/>
      <c r="ABD17" s="71"/>
      <c r="ABE17" s="71"/>
      <c r="ABF17" s="71"/>
      <c r="ABG17" s="71"/>
      <c r="ABH17" s="71"/>
      <c r="ABI17" s="71"/>
      <c r="ABJ17" s="71"/>
      <c r="ABK17" s="71"/>
      <c r="ABL17" s="71"/>
      <c r="ABM17" s="71"/>
      <c r="ABN17" s="71"/>
      <c r="ABO17" s="71"/>
      <c r="ABP17" s="71"/>
      <c r="ABQ17" s="71"/>
      <c r="ABR17" s="71"/>
      <c r="ABS17" s="71"/>
      <c r="ABT17" s="71"/>
      <c r="ABU17" s="71"/>
      <c r="ABV17" s="71"/>
      <c r="ABW17" s="71"/>
      <c r="ABX17" s="71"/>
      <c r="ABY17" s="71"/>
      <c r="ABZ17" s="71"/>
      <c r="ACA17" s="71"/>
      <c r="ACB17" s="71"/>
      <c r="ACC17" s="71"/>
      <c r="ACD17" s="71"/>
      <c r="ACE17" s="71"/>
      <c r="ACF17" s="71"/>
      <c r="ACG17" s="71"/>
      <c r="ACH17" s="71"/>
      <c r="ACI17" s="71"/>
      <c r="ACJ17" s="71"/>
      <c r="ACK17" s="71"/>
      <c r="ACL17" s="71"/>
      <c r="ACM17" s="71"/>
      <c r="ACN17" s="71"/>
      <c r="ACO17" s="71"/>
      <c r="ACP17" s="71"/>
      <c r="ACQ17" s="71"/>
      <c r="ACR17" s="71"/>
      <c r="ACS17" s="71"/>
      <c r="ACT17" s="71"/>
      <c r="ACU17" s="71"/>
      <c r="ACV17" s="71"/>
      <c r="ACW17" s="71"/>
      <c r="ACX17" s="71"/>
      <c r="ACY17" s="71"/>
      <c r="ACZ17" s="71"/>
      <c r="ADA17" s="71"/>
      <c r="ADB17" s="71"/>
      <c r="ADC17" s="71"/>
      <c r="ADD17" s="71"/>
      <c r="ADE17" s="71"/>
      <c r="ADF17" s="71"/>
      <c r="ADG17" s="71"/>
      <c r="ADH17" s="71"/>
      <c r="ADI17" s="71"/>
      <c r="ADJ17" s="71"/>
      <c r="ADK17" s="71"/>
      <c r="ADL17" s="71"/>
      <c r="ADM17" s="71"/>
      <c r="ADN17" s="71"/>
      <c r="ADO17" s="71"/>
      <c r="ADP17" s="71"/>
      <c r="ADQ17" s="71"/>
      <c r="ADR17" s="71"/>
      <c r="ADS17" s="71"/>
      <c r="ADT17" s="71"/>
      <c r="ADU17" s="71"/>
      <c r="ADV17" s="71"/>
      <c r="ADW17" s="71"/>
      <c r="ADX17" s="71"/>
      <c r="ADY17" s="71"/>
      <c r="ADZ17" s="71"/>
      <c r="AEA17" s="71"/>
      <c r="AEB17" s="71"/>
      <c r="AEC17" s="71"/>
      <c r="AED17" s="71"/>
      <c r="AEE17" s="71"/>
      <c r="AEF17" s="71"/>
      <c r="AEG17" s="71"/>
      <c r="AEH17" s="71"/>
      <c r="AEI17" s="71"/>
      <c r="AEJ17" s="71"/>
      <c r="AEK17" s="71"/>
      <c r="AEL17" s="71"/>
      <c r="AEM17" s="71"/>
      <c r="AEN17" s="71"/>
      <c r="AEO17" s="71"/>
      <c r="AEP17" s="71"/>
      <c r="AEQ17" s="71"/>
      <c r="AER17" s="71"/>
      <c r="AES17" s="71"/>
      <c r="AET17" s="71"/>
      <c r="AEU17" s="71"/>
      <c r="AEV17" s="71"/>
      <c r="AEW17" s="71"/>
      <c r="AEX17" s="71"/>
      <c r="AEY17" s="71"/>
      <c r="AEZ17" s="71"/>
      <c r="AFA17" s="71"/>
      <c r="AFB17" s="71"/>
      <c r="AFC17" s="71"/>
      <c r="AFD17" s="71"/>
      <c r="AFE17" s="71"/>
      <c r="AFF17" s="71"/>
      <c r="AFG17" s="71"/>
      <c r="AFH17" s="71"/>
      <c r="AFI17" s="71"/>
      <c r="AFJ17" s="71"/>
      <c r="AFK17" s="71"/>
      <c r="AFL17" s="71"/>
      <c r="AFM17" s="71"/>
      <c r="AFN17" s="71"/>
      <c r="AFO17" s="71"/>
      <c r="AFP17" s="71"/>
      <c r="AFQ17" s="71"/>
      <c r="AFR17" s="71"/>
      <c r="AFS17" s="71"/>
      <c r="AFT17" s="71"/>
      <c r="AFU17" s="71"/>
      <c r="AFV17" s="71"/>
      <c r="AFW17" s="71"/>
      <c r="AFX17" s="71"/>
      <c r="AFY17" s="71"/>
      <c r="AFZ17" s="71"/>
      <c r="AGA17" s="71"/>
      <c r="AGB17" s="71"/>
      <c r="AGC17" s="71"/>
      <c r="AGD17" s="71"/>
      <c r="AGE17" s="71"/>
      <c r="AGF17" s="71"/>
      <c r="AGG17" s="71"/>
      <c r="AGH17" s="71"/>
      <c r="AGI17" s="71"/>
      <c r="AGJ17" s="71"/>
      <c r="AGK17" s="71"/>
      <c r="AGL17" s="71"/>
      <c r="AGM17" s="71"/>
      <c r="AGN17" s="71"/>
      <c r="AGO17" s="71"/>
      <c r="AGP17" s="71"/>
      <c r="AGQ17" s="71"/>
      <c r="AGR17" s="71"/>
      <c r="AGS17" s="71"/>
      <c r="AGT17" s="71"/>
      <c r="AGU17" s="71"/>
      <c r="AGV17" s="71"/>
      <c r="AGW17" s="71"/>
      <c r="AGX17" s="71"/>
      <c r="AGY17" s="71"/>
      <c r="AGZ17" s="71"/>
      <c r="AHA17" s="71"/>
      <c r="AHB17" s="71"/>
      <c r="AHC17" s="71"/>
      <c r="AHD17" s="71"/>
      <c r="AHE17" s="71"/>
      <c r="AHF17" s="71"/>
      <c r="AHG17" s="71"/>
      <c r="AHH17" s="71"/>
      <c r="AHI17" s="71"/>
      <c r="AHJ17" s="71"/>
      <c r="AHK17" s="71"/>
      <c r="AHL17" s="71"/>
      <c r="AHM17" s="71"/>
      <c r="AHN17" s="71"/>
      <c r="AHO17" s="71"/>
      <c r="AHP17" s="71"/>
      <c r="AHQ17" s="71"/>
      <c r="AHR17" s="71"/>
      <c r="AHS17" s="71"/>
      <c r="AHT17" s="71"/>
      <c r="AHU17" s="71"/>
      <c r="AHV17" s="71"/>
      <c r="AHW17" s="71"/>
      <c r="AHX17" s="71"/>
      <c r="AHY17" s="71"/>
      <c r="AHZ17" s="71"/>
      <c r="AIA17" s="71"/>
      <c r="AIB17" s="71"/>
      <c r="AIC17" s="71"/>
      <c r="AID17" s="71"/>
      <c r="AIE17" s="71"/>
      <c r="AIF17" s="71"/>
      <c r="AIG17" s="71"/>
      <c r="AIH17" s="71"/>
      <c r="AII17" s="71"/>
      <c r="AIJ17" s="71"/>
      <c r="AIK17" s="71"/>
      <c r="AIL17" s="71"/>
      <c r="AIM17" s="71"/>
      <c r="AIN17" s="71"/>
      <c r="AIO17" s="71"/>
      <c r="AIP17" s="71"/>
      <c r="AIQ17" s="71"/>
      <c r="AIR17" s="71"/>
      <c r="AIS17" s="71"/>
      <c r="AIT17" s="71"/>
      <c r="AIU17" s="71"/>
      <c r="AIV17" s="71"/>
      <c r="AIW17" s="71"/>
      <c r="AIX17" s="71"/>
      <c r="AIY17" s="71"/>
      <c r="AIZ17" s="71"/>
      <c r="AJA17" s="71"/>
      <c r="AJB17" s="71"/>
      <c r="AJC17" s="71"/>
      <c r="AJD17" s="71"/>
      <c r="AJE17" s="71"/>
      <c r="AJF17" s="71"/>
      <c r="AJG17" s="71"/>
      <c r="AJH17" s="71"/>
      <c r="AJI17" s="71"/>
      <c r="AJJ17" s="71"/>
      <c r="AJK17" s="71"/>
      <c r="AJL17" s="71"/>
      <c r="AJM17" s="71"/>
      <c r="AJN17" s="71"/>
      <c r="AJO17" s="71"/>
      <c r="AJP17" s="71"/>
      <c r="AJQ17" s="71"/>
      <c r="AJR17" s="71"/>
      <c r="AJS17" s="71"/>
      <c r="AJT17" s="71"/>
      <c r="AJU17" s="71"/>
      <c r="AJV17" s="71"/>
      <c r="AJW17" s="71"/>
      <c r="AJX17" s="71"/>
      <c r="AJY17" s="71"/>
      <c r="AJZ17" s="71"/>
      <c r="AKA17" s="71"/>
      <c r="AKB17" s="71"/>
      <c r="AKC17" s="71"/>
      <c r="AKD17" s="71"/>
      <c r="AKE17" s="71"/>
      <c r="AKF17" s="71"/>
      <c r="AKG17" s="71"/>
      <c r="AKH17" s="71"/>
      <c r="AKI17" s="71"/>
      <c r="AKJ17" s="71"/>
      <c r="AKK17" s="71"/>
      <c r="AKL17" s="71"/>
      <c r="AKM17" s="71"/>
      <c r="AKN17" s="71"/>
      <c r="AKO17" s="71"/>
      <c r="AKP17" s="71"/>
      <c r="AKQ17" s="71"/>
      <c r="AKR17" s="71"/>
      <c r="AKS17" s="71"/>
      <c r="AKT17" s="71"/>
      <c r="AKU17" s="71"/>
      <c r="AKV17" s="71"/>
      <c r="AKW17" s="71"/>
      <c r="AKX17" s="71"/>
      <c r="AKY17" s="71"/>
      <c r="AKZ17" s="71"/>
      <c r="ALA17" s="71"/>
      <c r="ALB17" s="71"/>
      <c r="ALC17" s="71"/>
      <c r="ALD17" s="71"/>
      <c r="ALE17" s="71"/>
      <c r="ALF17" s="71"/>
      <c r="ALG17" s="71"/>
      <c r="ALH17" s="71"/>
      <c r="ALI17" s="71"/>
      <c r="ALJ17" s="71"/>
      <c r="ALK17" s="71"/>
      <c r="ALL17" s="71"/>
      <c r="ALM17" s="71"/>
      <c r="ALN17" s="71"/>
      <c r="ALO17" s="71"/>
      <c r="ALP17" s="71"/>
      <c r="ALQ17" s="71"/>
      <c r="ALR17" s="71"/>
      <c r="ALS17" s="71"/>
      <c r="ALT17" s="71"/>
      <c r="ALU17" s="71"/>
      <c r="ALV17" s="71"/>
      <c r="ALW17" s="71"/>
      <c r="ALX17" s="71"/>
      <c r="ALY17" s="71"/>
      <c r="ALZ17" s="71"/>
      <c r="AMA17" s="71"/>
      <c r="AMB17" s="71"/>
      <c r="AMC17" s="71"/>
      <c r="AMD17" s="71"/>
      <c r="AME17" s="71"/>
      <c r="AMF17" s="71"/>
      <c r="AMG17" s="71"/>
      <c r="AMH17" s="71"/>
      <c r="AMI17" s="71"/>
      <c r="AMJ17" s="71"/>
      <c r="AMK17" s="71"/>
      <c r="AML17" s="71"/>
      <c r="AMM17" s="71"/>
      <c r="AMN17" s="71"/>
      <c r="AMO17" s="71"/>
      <c r="AMP17" s="71"/>
      <c r="AMQ17" s="71"/>
      <c r="AMR17" s="71"/>
      <c r="AMS17" s="71"/>
      <c r="AMT17" s="71"/>
      <c r="AMU17" s="71"/>
      <c r="AMV17" s="71"/>
      <c r="AMW17" s="71"/>
      <c r="AMX17" s="71"/>
      <c r="AMY17" s="71"/>
      <c r="AMZ17" s="71"/>
      <c r="ANA17" s="71"/>
      <c r="ANB17" s="71"/>
      <c r="ANC17" s="71"/>
      <c r="AND17" s="71"/>
      <c r="ANE17" s="71"/>
      <c r="ANF17" s="71"/>
    </row>
    <row r="18" spans="1:1046" ht="60" hidden="1" customHeight="1" x14ac:dyDescent="0.25">
      <c r="B18" s="233" t="s">
        <v>2058</v>
      </c>
      <c r="C18" s="231" t="s">
        <v>2059</v>
      </c>
      <c r="D18" s="232" t="s">
        <v>2060</v>
      </c>
      <c r="E18" s="232" t="s">
        <v>2061</v>
      </c>
      <c r="F18" s="225" t="s">
        <v>2062</v>
      </c>
      <c r="G18" s="27" t="s">
        <v>2063</v>
      </c>
      <c r="H18" s="44" t="s">
        <v>2064</v>
      </c>
      <c r="I18" s="44" t="s">
        <v>2065</v>
      </c>
      <c r="J18" s="44" t="s">
        <v>2066</v>
      </c>
      <c r="K18" s="44" t="s">
        <v>2067</v>
      </c>
      <c r="L18" s="44" t="s">
        <v>2067</v>
      </c>
      <c r="M18" s="44" t="s">
        <v>2068</v>
      </c>
      <c r="N18" s="44" t="s">
        <v>2069</v>
      </c>
      <c r="O18" s="44" t="s">
        <v>2070</v>
      </c>
      <c r="P18" s="44"/>
      <c r="Q18" s="44" t="s">
        <v>2071</v>
      </c>
      <c r="R18" s="44" t="s">
        <v>2072</v>
      </c>
      <c r="S18" s="44" t="s">
        <v>2073</v>
      </c>
      <c r="T18" s="44" t="s">
        <v>2074</v>
      </c>
      <c r="U18" s="44" t="s">
        <v>2075</v>
      </c>
      <c r="V18" s="44" t="s">
        <v>2076</v>
      </c>
      <c r="W18" s="44" t="s">
        <v>2077</v>
      </c>
      <c r="X18" s="44" t="s">
        <v>2078</v>
      </c>
      <c r="Y18" s="44" t="s">
        <v>2078</v>
      </c>
      <c r="Z18" s="44" t="s">
        <v>2079</v>
      </c>
      <c r="AA18" s="44" t="s">
        <v>2080</v>
      </c>
      <c r="AB18" s="44" t="s">
        <v>2081</v>
      </c>
      <c r="AC18" s="44" t="s">
        <v>2082</v>
      </c>
      <c r="AD18" s="44" t="s">
        <v>2083</v>
      </c>
      <c r="AE18" s="44" t="s">
        <v>2084</v>
      </c>
      <c r="AF18" s="44" t="s">
        <v>2085</v>
      </c>
      <c r="AG18" s="44" t="s">
        <v>2086</v>
      </c>
      <c r="AH18" s="44" t="s">
        <v>2086</v>
      </c>
      <c r="AI18" s="44" t="s">
        <v>2087</v>
      </c>
      <c r="AJ18" s="44" t="s">
        <v>2088</v>
      </c>
      <c r="AK18" s="44" t="s">
        <v>2088</v>
      </c>
      <c r="AL18" s="44"/>
      <c r="AM18" s="44"/>
      <c r="AN18" s="44" t="s">
        <v>2089</v>
      </c>
      <c r="AO18" s="44" t="s">
        <v>2090</v>
      </c>
      <c r="AP18" s="44" t="s">
        <v>2090</v>
      </c>
      <c r="AQ18" s="44"/>
      <c r="AR18" s="44" t="s">
        <v>2091</v>
      </c>
      <c r="AS18" s="44" t="s">
        <v>2092</v>
      </c>
      <c r="AT18" s="44" t="s">
        <v>2093</v>
      </c>
      <c r="AU18" s="44"/>
      <c r="AV18" s="44"/>
      <c r="AW18" s="44"/>
      <c r="AX18" s="44"/>
      <c r="AY18" s="44"/>
      <c r="AZ18" s="44"/>
      <c r="BA18" s="44"/>
      <c r="BB18" s="44"/>
      <c r="BC18" s="44"/>
      <c r="BD18" s="44"/>
      <c r="BE18" s="44"/>
      <c r="BF18" s="44"/>
      <c r="BG18" s="44"/>
      <c r="BH18" s="44"/>
      <c r="BI18" s="44"/>
      <c r="BJ18" s="44"/>
      <c r="BK18" s="44"/>
      <c r="BL18" s="40" t="s">
        <v>2094</v>
      </c>
      <c r="BM18" s="38" t="s">
        <v>2095</v>
      </c>
      <c r="BN18" s="38">
        <v>45597</v>
      </c>
      <c r="BO18" s="38" t="s">
        <v>2096</v>
      </c>
    </row>
    <row r="19" spans="1:1046" ht="60" hidden="1" customHeight="1" x14ac:dyDescent="0.25">
      <c r="B19" s="233"/>
      <c r="C19" s="231"/>
      <c r="D19" s="232"/>
      <c r="E19" s="232"/>
      <c r="F19" s="225"/>
      <c r="G19" s="5" t="s">
        <v>2097</v>
      </c>
      <c r="H19" s="45" t="s">
        <v>2098</v>
      </c>
      <c r="I19" s="45" t="s">
        <v>2099</v>
      </c>
      <c r="J19" s="42" t="s">
        <v>2100</v>
      </c>
      <c r="K19" s="42" t="s">
        <v>2101</v>
      </c>
      <c r="L19" s="45" t="s">
        <v>2102</v>
      </c>
      <c r="M19" s="45" t="s">
        <v>2103</v>
      </c>
      <c r="N19" s="45" t="s">
        <v>2104</v>
      </c>
      <c r="P19" s="84" t="s">
        <v>2105</v>
      </c>
      <c r="Q19" s="42" t="s">
        <v>2106</v>
      </c>
      <c r="R19" s="45" t="s">
        <v>2107</v>
      </c>
      <c r="S19" s="45" t="s">
        <v>2108</v>
      </c>
      <c r="T19" s="89" t="s">
        <v>2109</v>
      </c>
      <c r="U19" s="45" t="s">
        <v>2110</v>
      </c>
      <c r="V19" s="45" t="s">
        <v>2111</v>
      </c>
      <c r="W19" s="45" t="s">
        <v>2112</v>
      </c>
      <c r="X19" s="89" t="s">
        <v>2078</v>
      </c>
      <c r="Y19" s="89" t="s">
        <v>2113</v>
      </c>
      <c r="Z19" s="45" t="s">
        <v>2114</v>
      </c>
      <c r="AA19" s="45" t="s">
        <v>2081</v>
      </c>
      <c r="AB19" s="45" t="s">
        <v>2115</v>
      </c>
      <c r="AC19" s="89" t="s">
        <v>2116</v>
      </c>
      <c r="AD19" s="45" t="s">
        <v>2117</v>
      </c>
      <c r="AE19" s="45" t="s">
        <v>2118</v>
      </c>
      <c r="AF19" s="45" t="s">
        <v>2119</v>
      </c>
      <c r="AG19" s="45" t="s">
        <v>2120</v>
      </c>
      <c r="AH19" s="45" t="s">
        <v>2121</v>
      </c>
      <c r="AI19" s="45" t="s">
        <v>2122</v>
      </c>
      <c r="AJ19" s="45" t="s">
        <v>2123</v>
      </c>
      <c r="AK19" s="45"/>
      <c r="AL19" s="45"/>
      <c r="AM19" s="45" t="s">
        <v>2124</v>
      </c>
      <c r="AN19" s="45" t="s">
        <v>2125</v>
      </c>
      <c r="AO19" s="42" t="s">
        <v>2126</v>
      </c>
      <c r="AQ19" s="42" t="s">
        <v>2127</v>
      </c>
      <c r="AR19" s="45" t="s">
        <v>2128</v>
      </c>
      <c r="AS19" s="45" t="s">
        <v>2129</v>
      </c>
      <c r="AU19" s="42"/>
      <c r="AV19" s="45" t="s">
        <v>2130</v>
      </c>
      <c r="AW19" s="45" t="s">
        <v>2131</v>
      </c>
      <c r="AX19" s="45" t="s">
        <v>2132</v>
      </c>
      <c r="AZ19" s="42"/>
      <c r="BA19" s="45"/>
      <c r="BB19" s="45"/>
      <c r="BD19" s="42"/>
      <c r="BE19" s="45"/>
      <c r="BF19" s="45"/>
      <c r="BH19" s="42"/>
      <c r="BI19" s="45"/>
      <c r="BJ19" s="45"/>
      <c r="BK19" s="45"/>
      <c r="BL19" s="35"/>
      <c r="BM19" s="37"/>
      <c r="BN19" s="36"/>
      <c r="BO19" s="37"/>
    </row>
    <row r="20" spans="1:1046" ht="66" customHeight="1" x14ac:dyDescent="0.25">
      <c r="AY20" s="192"/>
      <c r="AZ20" s="192"/>
      <c r="BA20" s="192"/>
      <c r="BB20" s="192"/>
    </row>
  </sheetData>
  <mergeCells count="184">
    <mergeCell ref="AT8:AW8"/>
    <mergeCell ref="AY8:BB8"/>
    <mergeCell ref="BC8:BF8"/>
    <mergeCell ref="BG8:BJ8"/>
    <mergeCell ref="L8:O8"/>
    <mergeCell ref="P8:S8"/>
    <mergeCell ref="T8:W8"/>
    <mergeCell ref="B8:B9"/>
    <mergeCell ref="X8:AB8"/>
    <mergeCell ref="AC8:AF8"/>
    <mergeCell ref="AG8:AJ8"/>
    <mergeCell ref="C8:C9"/>
    <mergeCell ref="AP8:AS8"/>
    <mergeCell ref="D8:D9"/>
    <mergeCell ref="E8:E9"/>
    <mergeCell ref="F8:F9"/>
    <mergeCell ref="H8:K8"/>
    <mergeCell ref="AT9:AW9"/>
    <mergeCell ref="BC9:BF9"/>
    <mergeCell ref="BG9:BJ9"/>
    <mergeCell ref="L9:O9"/>
    <mergeCell ref="P9:S9"/>
    <mergeCell ref="T9:W9"/>
    <mergeCell ref="X9:AB9"/>
    <mergeCell ref="AC9:AF9"/>
    <mergeCell ref="AG9:AJ9"/>
    <mergeCell ref="AK9:AO9"/>
    <mergeCell ref="AP9:AS9"/>
    <mergeCell ref="H9:K9"/>
    <mergeCell ref="AT10:AW10"/>
    <mergeCell ref="AY10:BB10"/>
    <mergeCell ref="BC10:BF10"/>
    <mergeCell ref="BG10:BJ10"/>
    <mergeCell ref="L10:O10"/>
    <mergeCell ref="P10:S10"/>
    <mergeCell ref="T10:W10"/>
    <mergeCell ref="B10:B11"/>
    <mergeCell ref="X10:AB10"/>
    <mergeCell ref="AC10:AF10"/>
    <mergeCell ref="AG10:AJ10"/>
    <mergeCell ref="C10:C11"/>
    <mergeCell ref="AK10:AO10"/>
    <mergeCell ref="AP10:AS10"/>
    <mergeCell ref="D10:D11"/>
    <mergeCell ref="E10:E11"/>
    <mergeCell ref="F10:F11"/>
    <mergeCell ref="H10:K10"/>
    <mergeCell ref="H11:K11"/>
    <mergeCell ref="AT11:AW11"/>
    <mergeCell ref="AY11:BB11"/>
    <mergeCell ref="BC11:BF11"/>
    <mergeCell ref="BG11:BJ11"/>
    <mergeCell ref="L11:O11"/>
    <mergeCell ref="P11:S11"/>
    <mergeCell ref="T11:W11"/>
    <mergeCell ref="X11:AB11"/>
    <mergeCell ref="AC11:AF11"/>
    <mergeCell ref="AG11:AJ11"/>
    <mergeCell ref="AK11:AO11"/>
    <mergeCell ref="AP11:AS11"/>
    <mergeCell ref="AT12:AW12"/>
    <mergeCell ref="AY12:BB12"/>
    <mergeCell ref="BC12:BF12"/>
    <mergeCell ref="BG12:BJ12"/>
    <mergeCell ref="L12:O12"/>
    <mergeCell ref="P12:S12"/>
    <mergeCell ref="T12:W12"/>
    <mergeCell ref="B12:B13"/>
    <mergeCell ref="X12:AB12"/>
    <mergeCell ref="AC12:AF12"/>
    <mergeCell ref="AG12:AJ12"/>
    <mergeCell ref="C12:C13"/>
    <mergeCell ref="AK12:AO12"/>
    <mergeCell ref="AP12:AS12"/>
    <mergeCell ref="D12:D13"/>
    <mergeCell ref="E12:E13"/>
    <mergeCell ref="F12:F13"/>
    <mergeCell ref="H12:K12"/>
    <mergeCell ref="AT13:AW13"/>
    <mergeCell ref="AY13:BB13"/>
    <mergeCell ref="BC13:BF13"/>
    <mergeCell ref="BG13:BJ13"/>
    <mergeCell ref="L13:O13"/>
    <mergeCell ref="P13:S13"/>
    <mergeCell ref="T13:W13"/>
    <mergeCell ref="X13:AB13"/>
    <mergeCell ref="AC13:AF13"/>
    <mergeCell ref="AG13:AJ13"/>
    <mergeCell ref="AK13:AO13"/>
    <mergeCell ref="AP13:AS13"/>
    <mergeCell ref="H13:K13"/>
    <mergeCell ref="AT14:AW14"/>
    <mergeCell ref="AY14:BB14"/>
    <mergeCell ref="BC14:BF14"/>
    <mergeCell ref="BG14:BJ14"/>
    <mergeCell ref="L14:O14"/>
    <mergeCell ref="P14:S14"/>
    <mergeCell ref="T14:W14"/>
    <mergeCell ref="B14:B15"/>
    <mergeCell ref="X14:AB14"/>
    <mergeCell ref="AC14:AF14"/>
    <mergeCell ref="AG14:AJ14"/>
    <mergeCell ref="C14:C15"/>
    <mergeCell ref="AP14:AS14"/>
    <mergeCell ref="D14:D15"/>
    <mergeCell ref="E14:E15"/>
    <mergeCell ref="F14:F15"/>
    <mergeCell ref="H14:K14"/>
    <mergeCell ref="AT15:AW15"/>
    <mergeCell ref="AY15:BB15"/>
    <mergeCell ref="BC15:BF15"/>
    <mergeCell ref="BG15:BJ15"/>
    <mergeCell ref="L15:O15"/>
    <mergeCell ref="P15:S15"/>
    <mergeCell ref="T15:W15"/>
    <mergeCell ref="X15:AB15"/>
    <mergeCell ref="AC15:AF15"/>
    <mergeCell ref="AG15:AJ15"/>
    <mergeCell ref="AP15:AS15"/>
    <mergeCell ref="H15:K15"/>
    <mergeCell ref="AT16:AW16"/>
    <mergeCell ref="AY16:BB16"/>
    <mergeCell ref="BC16:BF16"/>
    <mergeCell ref="BG16:BJ16"/>
    <mergeCell ref="L16:O16"/>
    <mergeCell ref="P16:S16"/>
    <mergeCell ref="T16:W16"/>
    <mergeCell ref="B16:B17"/>
    <mergeCell ref="X16:AA16"/>
    <mergeCell ref="AC16:AF16"/>
    <mergeCell ref="AG16:AJ16"/>
    <mergeCell ref="C16:C17"/>
    <mergeCell ref="AP16:AS16"/>
    <mergeCell ref="D16:D17"/>
    <mergeCell ref="E16:E17"/>
    <mergeCell ref="F16:F17"/>
    <mergeCell ref="H16:K16"/>
    <mergeCell ref="H17:K17"/>
    <mergeCell ref="AT17:AW17"/>
    <mergeCell ref="AY17:BB17"/>
    <mergeCell ref="BC17:BF17"/>
    <mergeCell ref="BG17:BJ17"/>
    <mergeCell ref="L17:O17"/>
    <mergeCell ref="P17:S17"/>
    <mergeCell ref="T17:W17"/>
    <mergeCell ref="X17:AA17"/>
    <mergeCell ref="AC17:AF17"/>
    <mergeCell ref="AG17:AJ17"/>
    <mergeCell ref="AP17:AS17"/>
    <mergeCell ref="B18:B19"/>
    <mergeCell ref="C18:C19"/>
    <mergeCell ref="D18:D19"/>
    <mergeCell ref="E18:E19"/>
    <mergeCell ref="F18:F19"/>
    <mergeCell ref="AT2:AX2"/>
    <mergeCell ref="AY2:BB2"/>
    <mergeCell ref="BC2:BF2"/>
    <mergeCell ref="BG2:BK2"/>
    <mergeCell ref="L2:O2"/>
    <mergeCell ref="P2:S2"/>
    <mergeCell ref="T2:W2"/>
    <mergeCell ref="B2:B3"/>
    <mergeCell ref="X2:AB2"/>
    <mergeCell ref="AC2:AF2"/>
    <mergeCell ref="AG2:AJ2"/>
    <mergeCell ref="C2:C3"/>
    <mergeCell ref="AK2:AO2"/>
    <mergeCell ref="AP2:AS2"/>
    <mergeCell ref="D2:D3"/>
    <mergeCell ref="B6:B7"/>
    <mergeCell ref="C6:C7"/>
    <mergeCell ref="D6:D7"/>
    <mergeCell ref="E6:E7"/>
    <mergeCell ref="F6:F7"/>
    <mergeCell ref="BL2:BO2"/>
    <mergeCell ref="E2:E3"/>
    <mergeCell ref="F2:F3"/>
    <mergeCell ref="G2:G3"/>
    <mergeCell ref="H2:K2"/>
    <mergeCell ref="B4:B5"/>
    <mergeCell ref="C4:C5"/>
    <mergeCell ref="D4:D5"/>
    <mergeCell ref="E4:E5"/>
    <mergeCell ref="F4:F5"/>
  </mergeCells>
  <phoneticPr fontId="0" type="noConversion"/>
  <pageMargins left="0.70078740157480313" right="0.70078740157480313" top="0.75196850393700787" bottom="0.75196850393700787" header="0.29921259842519687" footer="0.29921259842519687"/>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基础数据!$C$2:$C$6</xm:f>
          </x14:formula1>
          <xm:sqref>E4</xm:sqref>
        </x14:dataValidation>
        <x14:dataValidation type="list" allowBlank="1" showInputMessage="1" showErrorMessage="1" xr:uid="{00000000-0002-0000-0000-000001000000}">
          <x14:formula1>
            <xm:f>基础数据!$D$2:$D$9</xm:f>
          </x14:formula1>
          <xm:sqref>D4:E4 D10:E10 D16:E16 D12:E12 D6:E6 D8:E8 D18:E18 D14:E14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D90FC-DB29-459C-AD52-E8E4BFD46D29}">
  <sheetPr>
    <tabColor rgb="FF70AD47"/>
    <outlinePr summaryBelow="0" summaryRight="0"/>
  </sheetPr>
  <dimension ref="A2:ANF23"/>
  <sheetViews>
    <sheetView workbookViewId="0">
      <pane xSplit="7" ySplit="3" topLeftCell="T4" activePane="bottomRight" state="frozen"/>
      <selection pane="topRight"/>
      <selection pane="bottomLeft"/>
      <selection pane="bottomRight" activeCell="AA5" sqref="AA5"/>
    </sheetView>
  </sheetViews>
  <sheetFormatPr defaultColWidth="9" defaultRowHeight="15.6" x14ac:dyDescent="0.35"/>
  <cols>
    <col min="1" max="1" width="2.88671875" style="2" customWidth="1"/>
    <col min="2" max="2" width="10" style="2" customWidth="1"/>
    <col min="3" max="3" width="5.5546875" style="2" customWidth="1"/>
    <col min="4" max="4" width="7.21875" style="2" customWidth="1"/>
    <col min="5" max="5" width="9.109375" style="2" customWidth="1"/>
    <col min="6" max="6" width="12" style="2" customWidth="1"/>
    <col min="7" max="7" width="5" style="2" bestFit="1" customWidth="1"/>
    <col min="8" max="18" width="5" style="2" hidden="1" customWidth="1"/>
    <col min="19" max="19" width="5" style="88" hidden="1" customWidth="1"/>
    <col min="20" max="59" width="5" style="2" hidden="1" customWidth="1"/>
    <col min="60" max="60" width="24.33203125" style="2" customWidth="1"/>
    <col min="61" max="61" width="43" style="2" customWidth="1"/>
    <col min="62" max="62" width="45.77734375" style="2" customWidth="1"/>
    <col min="63" max="63" width="3.109375" style="2" customWidth="1"/>
    <col min="64" max="64" width="17.109375" style="2" customWidth="1"/>
    <col min="65" max="65" width="10" style="2" bestFit="1" customWidth="1"/>
    <col min="66" max="66" width="11" style="2" bestFit="1" customWidth="1"/>
    <col min="67" max="67" width="9.77734375" style="2" bestFit="1" customWidth="1"/>
    <col min="68" max="1046" width="9" style="2"/>
  </cols>
  <sheetData>
    <row r="2" spans="1:1046" ht="34.5" customHeight="1" x14ac:dyDescent="0.35">
      <c r="B2" s="237" t="s">
        <v>0</v>
      </c>
      <c r="C2" s="237" t="s">
        <v>1</v>
      </c>
      <c r="D2" s="227" t="s">
        <v>2</v>
      </c>
      <c r="E2" s="227" t="s">
        <v>3</v>
      </c>
      <c r="F2" s="326" t="s">
        <v>4</v>
      </c>
      <c r="G2" s="227"/>
      <c r="H2" s="236" t="s">
        <v>6</v>
      </c>
      <c r="I2" s="236"/>
      <c r="J2" s="236"/>
      <c r="K2" s="236"/>
      <c r="L2" s="237" t="s">
        <v>7</v>
      </c>
      <c r="M2" s="237"/>
      <c r="N2" s="237"/>
      <c r="O2" s="237"/>
      <c r="P2" s="237" t="s">
        <v>8</v>
      </c>
      <c r="Q2" s="237"/>
      <c r="R2" s="237"/>
      <c r="S2" s="237"/>
      <c r="T2" s="237" t="s">
        <v>9</v>
      </c>
      <c r="U2" s="237"/>
      <c r="V2" s="237"/>
      <c r="W2" s="237"/>
      <c r="X2" s="237" t="s">
        <v>10</v>
      </c>
      <c r="Y2" s="237"/>
      <c r="Z2" s="237"/>
      <c r="AA2" s="237"/>
      <c r="AB2" s="237"/>
      <c r="AC2" s="234" t="s">
        <v>11</v>
      </c>
      <c r="AD2" s="235"/>
      <c r="AE2" s="235"/>
      <c r="AF2" s="236"/>
      <c r="AG2" s="237" t="s">
        <v>12</v>
      </c>
      <c r="AH2" s="237"/>
      <c r="AI2" s="237"/>
      <c r="AJ2" s="237"/>
      <c r="AK2" s="234" t="s">
        <v>13</v>
      </c>
      <c r="AL2" s="235"/>
      <c r="AM2" s="235"/>
      <c r="AN2" s="235"/>
      <c r="AO2" s="236"/>
      <c r="AP2" s="237" t="s">
        <v>14</v>
      </c>
      <c r="AQ2" s="237"/>
      <c r="AR2" s="237"/>
      <c r="AS2" s="237"/>
      <c r="AT2" s="234" t="s">
        <v>15</v>
      </c>
      <c r="AU2" s="235"/>
      <c r="AV2" s="235"/>
      <c r="AW2" s="235"/>
      <c r="AX2" s="236"/>
      <c r="AY2" s="237" t="s">
        <v>16</v>
      </c>
      <c r="AZ2" s="237"/>
      <c r="BA2" s="237"/>
      <c r="BB2" s="237"/>
      <c r="BC2" s="237" t="s">
        <v>17</v>
      </c>
      <c r="BD2" s="237"/>
      <c r="BE2" s="237"/>
      <c r="BF2" s="237"/>
      <c r="BG2" s="234" t="s">
        <v>6</v>
      </c>
      <c r="BH2" s="235"/>
      <c r="BI2" s="235"/>
      <c r="BJ2" s="235"/>
      <c r="BK2" s="236"/>
      <c r="BL2" s="227" t="s">
        <v>18</v>
      </c>
      <c r="BM2" s="227"/>
      <c r="BN2" s="227"/>
      <c r="BO2" s="227"/>
    </row>
    <row r="3" spans="1:1046" ht="44.25" customHeight="1" x14ac:dyDescent="0.35">
      <c r="B3" s="237"/>
      <c r="C3" s="237"/>
      <c r="D3" s="227"/>
      <c r="E3" s="227"/>
      <c r="F3" s="326"/>
      <c r="G3" s="227"/>
      <c r="H3" s="25" t="s">
        <v>19</v>
      </c>
      <c r="I3" s="23" t="s">
        <v>244</v>
      </c>
      <c r="J3" s="23" t="s">
        <v>21</v>
      </c>
      <c r="K3" s="23" t="s">
        <v>22</v>
      </c>
      <c r="L3" s="23" t="s">
        <v>23</v>
      </c>
      <c r="M3" s="23" t="s">
        <v>245</v>
      </c>
      <c r="N3" s="23" t="s">
        <v>246</v>
      </c>
      <c r="O3" s="23" t="s">
        <v>26</v>
      </c>
      <c r="P3" s="23" t="s">
        <v>27</v>
      </c>
      <c r="Q3" s="23" t="s">
        <v>28</v>
      </c>
      <c r="R3" s="23" t="s">
        <v>29</v>
      </c>
      <c r="S3" s="23" t="s">
        <v>30</v>
      </c>
      <c r="T3" s="23" t="s">
        <v>31</v>
      </c>
      <c r="U3" s="23" t="s">
        <v>32</v>
      </c>
      <c r="V3" s="23" t="s">
        <v>33</v>
      </c>
      <c r="W3" s="23" t="s">
        <v>34</v>
      </c>
      <c r="X3" s="23" t="s">
        <v>35</v>
      </c>
      <c r="Y3" s="23" t="s">
        <v>36</v>
      </c>
      <c r="Z3" s="23" t="s">
        <v>37</v>
      </c>
      <c r="AA3" s="23" t="s">
        <v>38</v>
      </c>
      <c r="AB3" s="23" t="s">
        <v>39</v>
      </c>
      <c r="AC3" s="23" t="s">
        <v>40</v>
      </c>
      <c r="AD3" s="23" t="s">
        <v>41</v>
      </c>
      <c r="AE3" s="23" t="s">
        <v>42</v>
      </c>
      <c r="AF3" s="23" t="s">
        <v>43</v>
      </c>
      <c r="AG3" s="23" t="s">
        <v>44</v>
      </c>
      <c r="AH3" s="23" t="s">
        <v>45</v>
      </c>
      <c r="AI3" s="23" t="s">
        <v>46</v>
      </c>
      <c r="AJ3" s="23" t="s">
        <v>47</v>
      </c>
      <c r="AK3" s="23" t="s">
        <v>48</v>
      </c>
      <c r="AL3" s="23" t="s">
        <v>49</v>
      </c>
      <c r="AM3" s="23" t="s">
        <v>50</v>
      </c>
      <c r="AN3" s="23" t="s">
        <v>51</v>
      </c>
      <c r="AO3" s="23" t="s">
        <v>52</v>
      </c>
      <c r="AP3" s="23" t="s">
        <v>53</v>
      </c>
      <c r="AQ3" s="23" t="s">
        <v>247</v>
      </c>
      <c r="AR3" s="23" t="s">
        <v>55</v>
      </c>
      <c r="AS3" s="23" t="s">
        <v>56</v>
      </c>
      <c r="AT3" s="23" t="s">
        <v>57</v>
      </c>
      <c r="AU3" s="23" t="s">
        <v>58</v>
      </c>
      <c r="AV3" s="23" t="s">
        <v>59</v>
      </c>
      <c r="AW3" s="23" t="s">
        <v>60</v>
      </c>
      <c r="AX3" s="23" t="s">
        <v>61</v>
      </c>
      <c r="AY3" s="23" t="s">
        <v>62</v>
      </c>
      <c r="AZ3" s="23" t="s">
        <v>63</v>
      </c>
      <c r="BA3" s="23" t="s">
        <v>248</v>
      </c>
      <c r="BB3" s="23" t="s">
        <v>65</v>
      </c>
      <c r="BC3" s="23" t="s">
        <v>66</v>
      </c>
      <c r="BD3" s="23" t="s">
        <v>67</v>
      </c>
      <c r="BE3" s="23" t="s">
        <v>68</v>
      </c>
      <c r="BF3" s="23" t="s">
        <v>69</v>
      </c>
      <c r="BG3" s="23" t="s">
        <v>70</v>
      </c>
      <c r="BH3" s="23" t="s">
        <v>71</v>
      </c>
      <c r="BI3" s="23" t="s">
        <v>72</v>
      </c>
      <c r="BJ3" s="23" t="s">
        <v>73</v>
      </c>
      <c r="BK3" s="23" t="s">
        <v>74</v>
      </c>
      <c r="BL3" s="24" t="s">
        <v>75</v>
      </c>
      <c r="BM3" s="24" t="s">
        <v>76</v>
      </c>
      <c r="BN3" s="24" t="s">
        <v>77</v>
      </c>
      <c r="BO3" s="24" t="s">
        <v>78</v>
      </c>
    </row>
    <row r="4" spans="1:1046" ht="147" customHeight="1" x14ac:dyDescent="0.35">
      <c r="B4" s="231" t="s">
        <v>249</v>
      </c>
      <c r="C4" s="231" t="s">
        <v>250</v>
      </c>
      <c r="D4" s="232" t="s">
        <v>81</v>
      </c>
      <c r="E4" s="232" t="s">
        <v>1853</v>
      </c>
      <c r="F4" s="225" t="s">
        <v>251</v>
      </c>
      <c r="G4" s="8" t="s">
        <v>84</v>
      </c>
      <c r="H4" s="3" t="s">
        <v>252</v>
      </c>
      <c r="I4" s="3" t="s">
        <v>253</v>
      </c>
      <c r="J4" s="3" t="s">
        <v>254</v>
      </c>
      <c r="K4" s="3" t="s">
        <v>255</v>
      </c>
      <c r="L4" s="3" t="s">
        <v>256</v>
      </c>
      <c r="M4" s="3" t="s">
        <v>257</v>
      </c>
      <c r="N4" s="3" t="s">
        <v>258</v>
      </c>
      <c r="O4" s="3" t="s">
        <v>259</v>
      </c>
      <c r="P4" s="3" t="s">
        <v>260</v>
      </c>
      <c r="Q4" s="3" t="s">
        <v>261</v>
      </c>
      <c r="R4" s="3" t="s">
        <v>262</v>
      </c>
      <c r="S4" s="3" t="s">
        <v>263</v>
      </c>
      <c r="T4" s="3" t="s">
        <v>264</v>
      </c>
      <c r="U4" s="3" t="s">
        <v>265</v>
      </c>
      <c r="V4" s="3" t="s">
        <v>266</v>
      </c>
      <c r="W4" s="3" t="s">
        <v>267</v>
      </c>
      <c r="X4" s="3" t="s">
        <v>268</v>
      </c>
      <c r="Y4" s="3" t="s">
        <v>269</v>
      </c>
      <c r="Z4" s="3" t="s">
        <v>270</v>
      </c>
      <c r="AA4" s="3" t="s">
        <v>271</v>
      </c>
      <c r="AB4" s="3" t="s">
        <v>272</v>
      </c>
      <c r="AC4" s="3" t="s">
        <v>273</v>
      </c>
      <c r="AD4" s="3" t="s">
        <v>274</v>
      </c>
      <c r="AE4" s="3" t="s">
        <v>275</v>
      </c>
      <c r="AF4" s="3" t="s">
        <v>276</v>
      </c>
      <c r="AG4" s="3" t="s">
        <v>277</v>
      </c>
      <c r="AH4" s="3" t="s">
        <v>278</v>
      </c>
      <c r="AI4" s="3" t="s">
        <v>279</v>
      </c>
      <c r="AJ4" s="3" t="s">
        <v>280</v>
      </c>
      <c r="AK4" s="3" t="s">
        <v>281</v>
      </c>
      <c r="AL4" s="3" t="s">
        <v>282</v>
      </c>
      <c r="AM4" s="3" t="s">
        <v>283</v>
      </c>
      <c r="AN4" s="3" t="s">
        <v>284</v>
      </c>
      <c r="AO4" s="3" t="s">
        <v>285</v>
      </c>
      <c r="AP4" s="3" t="s">
        <v>286</v>
      </c>
      <c r="AQ4" s="3" t="s">
        <v>287</v>
      </c>
      <c r="AR4" s="3" t="s">
        <v>288</v>
      </c>
      <c r="AS4" s="3" t="s">
        <v>289</v>
      </c>
      <c r="AT4" s="3" t="s">
        <v>290</v>
      </c>
      <c r="AU4" s="3" t="s">
        <v>291</v>
      </c>
      <c r="AV4" s="3" t="s">
        <v>292</v>
      </c>
      <c r="AW4" s="3" t="s">
        <v>293</v>
      </c>
      <c r="AX4" s="3" t="s">
        <v>294</v>
      </c>
      <c r="AY4" s="3"/>
      <c r="AZ4" s="3" t="s">
        <v>295</v>
      </c>
      <c r="BA4" s="3" t="s">
        <v>296</v>
      </c>
      <c r="BB4" s="3" t="s">
        <v>297</v>
      </c>
      <c r="BC4" s="3" t="s">
        <v>298</v>
      </c>
      <c r="BD4" s="3" t="s">
        <v>299</v>
      </c>
      <c r="BE4" s="3" t="s">
        <v>300</v>
      </c>
      <c r="BF4" s="3" t="s">
        <v>301</v>
      </c>
      <c r="BG4" s="3" t="s">
        <v>302</v>
      </c>
      <c r="BH4" s="3" t="s">
        <v>1864</v>
      </c>
      <c r="BI4" s="3" t="s">
        <v>1919</v>
      </c>
      <c r="BJ4" s="3" t="s">
        <v>2032</v>
      </c>
      <c r="BK4" s="3"/>
      <c r="BL4" s="11">
        <v>45474</v>
      </c>
      <c r="BM4" s="11">
        <v>45536</v>
      </c>
      <c r="BN4" s="11">
        <v>45658</v>
      </c>
      <c r="BO4" s="11">
        <v>45717</v>
      </c>
    </row>
    <row r="5" spans="1:1046" ht="137.25" customHeight="1" x14ac:dyDescent="0.35">
      <c r="B5" s="231"/>
      <c r="C5" s="231"/>
      <c r="D5" s="232"/>
      <c r="E5" s="232"/>
      <c r="F5" s="225"/>
      <c r="G5" s="12" t="s">
        <v>120</v>
      </c>
      <c r="H5" s="6" t="s">
        <v>303</v>
      </c>
      <c r="I5" s="6" t="s">
        <v>304</v>
      </c>
      <c r="J5" s="6" t="s">
        <v>305</v>
      </c>
      <c r="K5" s="6" t="s">
        <v>306</v>
      </c>
      <c r="L5" s="6" t="s">
        <v>307</v>
      </c>
      <c r="M5" s="6" t="s">
        <v>308</v>
      </c>
      <c r="N5" s="6" t="s">
        <v>309</v>
      </c>
      <c r="O5" s="6" t="s">
        <v>310</v>
      </c>
      <c r="P5" s="6" t="s">
        <v>311</v>
      </c>
      <c r="Q5" s="6" t="s">
        <v>312</v>
      </c>
      <c r="R5" s="6" t="s">
        <v>313</v>
      </c>
      <c r="S5" s="18" t="s">
        <v>314</v>
      </c>
      <c r="T5" s="18" t="s">
        <v>315</v>
      </c>
      <c r="U5" s="18" t="s">
        <v>316</v>
      </c>
      <c r="V5" s="18" t="s">
        <v>317</v>
      </c>
      <c r="W5" s="18" t="s">
        <v>318</v>
      </c>
      <c r="X5" s="18" t="s">
        <v>319</v>
      </c>
      <c r="Y5" s="18" t="s">
        <v>320</v>
      </c>
      <c r="Z5" s="18" t="s">
        <v>321</v>
      </c>
      <c r="AA5" s="18" t="s">
        <v>322</v>
      </c>
      <c r="AB5" s="18" t="s">
        <v>323</v>
      </c>
      <c r="AC5" s="18" t="s">
        <v>324</v>
      </c>
      <c r="AD5" s="18" t="s">
        <v>325</v>
      </c>
      <c r="AE5" s="18" t="s">
        <v>326</v>
      </c>
      <c r="AF5" s="18" t="s">
        <v>327</v>
      </c>
      <c r="AG5" s="18" t="s">
        <v>328</v>
      </c>
      <c r="AH5" s="18" t="s">
        <v>329</v>
      </c>
      <c r="AI5" s="18" t="s">
        <v>330</v>
      </c>
      <c r="AJ5" s="18" t="s">
        <v>331</v>
      </c>
      <c r="AK5" s="18" t="s">
        <v>332</v>
      </c>
      <c r="AL5" s="18" t="s">
        <v>333</v>
      </c>
      <c r="AM5" s="18" t="s">
        <v>334</v>
      </c>
      <c r="AN5" s="18" t="s">
        <v>335</v>
      </c>
      <c r="AO5" s="18" t="s">
        <v>336</v>
      </c>
      <c r="AP5" s="18" t="s">
        <v>337</v>
      </c>
      <c r="AQ5" s="18" t="s">
        <v>338</v>
      </c>
      <c r="AR5" s="18" t="s">
        <v>339</v>
      </c>
      <c r="AS5" s="18" t="s">
        <v>340</v>
      </c>
      <c r="AT5" s="18" t="s">
        <v>341</v>
      </c>
      <c r="AU5" s="18" t="s">
        <v>342</v>
      </c>
      <c r="AV5" s="18" t="s">
        <v>343</v>
      </c>
      <c r="AW5" s="18" t="s">
        <v>344</v>
      </c>
      <c r="AX5" s="18" t="s">
        <v>345</v>
      </c>
      <c r="AZ5" s="18" t="s">
        <v>346</v>
      </c>
      <c r="BA5" s="18" t="s">
        <v>347</v>
      </c>
      <c r="BB5" s="18" t="s">
        <v>348</v>
      </c>
      <c r="BC5" s="18" t="s">
        <v>349</v>
      </c>
      <c r="BD5" s="18" t="s">
        <v>350</v>
      </c>
      <c r="BE5" s="18" t="s">
        <v>351</v>
      </c>
      <c r="BF5" s="18" t="s">
        <v>352</v>
      </c>
      <c r="BG5" s="18" t="s">
        <v>1865</v>
      </c>
      <c r="BH5" s="18" t="s">
        <v>1913</v>
      </c>
      <c r="BI5" s="18" t="s">
        <v>2033</v>
      </c>
      <c r="BJ5" s="18"/>
      <c r="BK5" s="18"/>
      <c r="BL5" s="13">
        <v>45474</v>
      </c>
      <c r="BM5" s="13">
        <v>45575</v>
      </c>
      <c r="BN5" s="13"/>
      <c r="BO5" s="14"/>
    </row>
    <row r="6" spans="1:1046" ht="190.5" customHeight="1" x14ac:dyDescent="0.35">
      <c r="B6" s="325" t="s">
        <v>353</v>
      </c>
      <c r="C6" s="231" t="s">
        <v>354</v>
      </c>
      <c r="D6" s="232" t="s">
        <v>81</v>
      </c>
      <c r="E6" s="232" t="s">
        <v>238</v>
      </c>
      <c r="F6" s="225" t="s">
        <v>355</v>
      </c>
      <c r="G6" s="17" t="s">
        <v>84</v>
      </c>
      <c r="H6" s="9" t="s">
        <v>356</v>
      </c>
      <c r="I6" s="3" t="s">
        <v>357</v>
      </c>
      <c r="J6" s="3" t="s">
        <v>358</v>
      </c>
      <c r="K6" s="3" t="s">
        <v>359</v>
      </c>
      <c r="L6" s="3" t="s">
        <v>360</v>
      </c>
      <c r="M6" s="3" t="s">
        <v>361</v>
      </c>
      <c r="N6" s="3" t="s">
        <v>362</v>
      </c>
      <c r="O6" s="3" t="s">
        <v>363</v>
      </c>
      <c r="P6" s="3" t="s">
        <v>364</v>
      </c>
      <c r="Q6" s="3" t="s">
        <v>365</v>
      </c>
      <c r="R6" s="3" t="s">
        <v>365</v>
      </c>
      <c r="S6" s="3" t="s">
        <v>366</v>
      </c>
      <c r="T6" s="3" t="s">
        <v>367</v>
      </c>
      <c r="U6" s="3" t="s">
        <v>368</v>
      </c>
      <c r="V6" s="3" t="s">
        <v>369</v>
      </c>
      <c r="W6" s="3" t="s">
        <v>370</v>
      </c>
      <c r="X6" s="3" t="s">
        <v>371</v>
      </c>
      <c r="Y6" s="3" t="s">
        <v>372</v>
      </c>
      <c r="Z6" s="3" t="s">
        <v>372</v>
      </c>
      <c r="AA6" s="3" t="s">
        <v>373</v>
      </c>
      <c r="AB6" s="3" t="s">
        <v>373</v>
      </c>
      <c r="AC6" s="3" t="s">
        <v>374</v>
      </c>
      <c r="AD6" s="3" t="s">
        <v>375</v>
      </c>
      <c r="AE6" s="3" t="s">
        <v>376</v>
      </c>
      <c r="AF6" s="3" t="s">
        <v>377</v>
      </c>
      <c r="AG6" s="3" t="s">
        <v>377</v>
      </c>
      <c r="AH6" s="3" t="s">
        <v>378</v>
      </c>
      <c r="AI6" s="3" t="s">
        <v>379</v>
      </c>
      <c r="AJ6" s="3" t="s">
        <v>380</v>
      </c>
      <c r="AK6" s="3" t="s">
        <v>381</v>
      </c>
      <c r="AL6" s="3" t="s">
        <v>382</v>
      </c>
      <c r="AM6" s="3" t="s">
        <v>383</v>
      </c>
      <c r="AN6" s="3" t="s">
        <v>384</v>
      </c>
      <c r="AO6" s="3" t="s">
        <v>385</v>
      </c>
      <c r="AP6" s="3" t="s">
        <v>386</v>
      </c>
      <c r="AQ6" s="3" t="s">
        <v>387</v>
      </c>
      <c r="AR6" s="3" t="s">
        <v>388</v>
      </c>
      <c r="AS6" s="3" t="s">
        <v>389</v>
      </c>
      <c r="AT6" s="3" t="s">
        <v>390</v>
      </c>
      <c r="AU6" s="3" t="s">
        <v>391</v>
      </c>
      <c r="AV6" s="3" t="s">
        <v>392</v>
      </c>
      <c r="AW6" s="3" t="s">
        <v>393</v>
      </c>
      <c r="AX6" s="3" t="s">
        <v>394</v>
      </c>
      <c r="AY6" s="3" t="s">
        <v>394</v>
      </c>
      <c r="AZ6" s="3" t="s">
        <v>395</v>
      </c>
      <c r="BA6" s="3" t="s">
        <v>396</v>
      </c>
      <c r="BB6" s="3" t="s">
        <v>397</v>
      </c>
      <c r="BC6" s="3" t="s">
        <v>398</v>
      </c>
      <c r="BD6" s="3" t="s">
        <v>399</v>
      </c>
      <c r="BE6" s="3" t="s">
        <v>400</v>
      </c>
      <c r="BF6" s="3" t="s">
        <v>401</v>
      </c>
      <c r="BG6" s="3" t="s">
        <v>402</v>
      </c>
      <c r="BH6" s="3" t="s">
        <v>1875</v>
      </c>
      <c r="BI6" s="3" t="s">
        <v>2016</v>
      </c>
      <c r="BJ6" s="3" t="s">
        <v>2048</v>
      </c>
      <c r="BK6" s="3"/>
      <c r="BL6" s="11">
        <v>45536</v>
      </c>
      <c r="BM6" s="11">
        <v>45536</v>
      </c>
      <c r="BN6" s="11">
        <v>45658</v>
      </c>
      <c r="BO6" s="10"/>
    </row>
    <row r="7" spans="1:1046" ht="177" customHeight="1" x14ac:dyDescent="0.35">
      <c r="B7" s="325"/>
      <c r="C7" s="231"/>
      <c r="D7" s="232"/>
      <c r="E7" s="232"/>
      <c r="F7" s="225"/>
      <c r="G7" s="5" t="s">
        <v>120</v>
      </c>
      <c r="H7" s="18" t="s">
        <v>403</v>
      </c>
      <c r="I7" s="16" t="s">
        <v>404</v>
      </c>
      <c r="J7" s="18" t="s">
        <v>405</v>
      </c>
      <c r="K7" s="6" t="s">
        <v>406</v>
      </c>
      <c r="L7" s="18" t="s">
        <v>407</v>
      </c>
      <c r="M7" s="18" t="s">
        <v>408</v>
      </c>
      <c r="N7" s="18" t="s">
        <v>409</v>
      </c>
      <c r="O7" s="18" t="s">
        <v>410</v>
      </c>
      <c r="P7" s="18" t="s">
        <v>410</v>
      </c>
      <c r="Q7" s="18" t="s">
        <v>365</v>
      </c>
      <c r="R7" s="18" t="s">
        <v>411</v>
      </c>
      <c r="S7" s="18" t="s">
        <v>412</v>
      </c>
      <c r="T7" s="18" t="s">
        <v>413</v>
      </c>
      <c r="U7" s="18" t="s">
        <v>414</v>
      </c>
      <c r="V7" s="18" t="s">
        <v>415</v>
      </c>
      <c r="W7" s="18" t="s">
        <v>371</v>
      </c>
      <c r="X7" s="18" t="s">
        <v>371</v>
      </c>
      <c r="Y7" s="18" t="s">
        <v>372</v>
      </c>
      <c r="Z7" s="18" t="s">
        <v>416</v>
      </c>
      <c r="AA7" s="18" t="s">
        <v>417</v>
      </c>
      <c r="AB7" s="18" t="s">
        <v>418</v>
      </c>
      <c r="AC7" s="18" t="s">
        <v>419</v>
      </c>
      <c r="AD7" s="18" t="s">
        <v>375</v>
      </c>
      <c r="AE7" s="18" t="s">
        <v>420</v>
      </c>
      <c r="AF7" s="18" t="s">
        <v>421</v>
      </c>
      <c r="AG7" s="18" t="s">
        <v>422</v>
      </c>
      <c r="AH7" s="18" t="s">
        <v>423</v>
      </c>
      <c r="AI7" s="18" t="s">
        <v>424</v>
      </c>
      <c r="AJ7" s="18" t="s">
        <v>425</v>
      </c>
      <c r="AK7" s="18" t="s">
        <v>426</v>
      </c>
      <c r="AL7" s="18" t="s">
        <v>427</v>
      </c>
      <c r="AM7" s="18" t="s">
        <v>428</v>
      </c>
      <c r="AN7" s="18" t="s">
        <v>429</v>
      </c>
      <c r="AO7" s="18" t="s">
        <v>430</v>
      </c>
      <c r="AP7" s="18" t="s">
        <v>431</v>
      </c>
      <c r="AQ7" s="18" t="s">
        <v>432</v>
      </c>
      <c r="AR7" s="18" t="s">
        <v>433</v>
      </c>
      <c r="AS7" s="18" t="s">
        <v>434</v>
      </c>
      <c r="AT7" s="18" t="s">
        <v>435</v>
      </c>
      <c r="AU7" s="18" t="s">
        <v>436</v>
      </c>
      <c r="AV7" s="18" t="s">
        <v>437</v>
      </c>
      <c r="AW7" s="18" t="s">
        <v>438</v>
      </c>
      <c r="AX7" s="18" t="s">
        <v>439</v>
      </c>
      <c r="AY7" s="18" t="s">
        <v>439</v>
      </c>
      <c r="AZ7" s="18" t="s">
        <v>440</v>
      </c>
      <c r="BA7" s="18" t="s">
        <v>441</v>
      </c>
      <c r="BB7" s="18" t="s">
        <v>442</v>
      </c>
      <c r="BC7" s="18" t="s">
        <v>443</v>
      </c>
      <c r="BD7" s="18" t="s">
        <v>444</v>
      </c>
      <c r="BE7" s="18" t="s">
        <v>445</v>
      </c>
      <c r="BF7" s="18" t="s">
        <v>446</v>
      </c>
      <c r="BG7" s="18" t="s">
        <v>1876</v>
      </c>
      <c r="BH7" s="18" t="s">
        <v>2017</v>
      </c>
      <c r="BI7" s="18" t="s">
        <v>2049</v>
      </c>
      <c r="BJ7" s="18"/>
      <c r="BK7" s="18"/>
      <c r="BL7" s="59">
        <v>45536</v>
      </c>
      <c r="BM7" s="13">
        <v>45627</v>
      </c>
      <c r="BN7" s="13">
        <v>45658</v>
      </c>
      <c r="BO7" s="14"/>
    </row>
    <row r="8" spans="1:1046" ht="49.5" customHeight="1" x14ac:dyDescent="0.35">
      <c r="B8" s="265" t="s">
        <v>447</v>
      </c>
      <c r="C8" s="231" t="s">
        <v>448</v>
      </c>
      <c r="D8" s="232"/>
      <c r="E8" s="232"/>
      <c r="F8" s="225" t="s">
        <v>449</v>
      </c>
      <c r="G8" s="56" t="s">
        <v>84</v>
      </c>
      <c r="H8" s="287"/>
      <c r="I8" s="287"/>
      <c r="J8" s="287"/>
      <c r="K8" s="287"/>
      <c r="L8" s="57"/>
      <c r="M8" s="46"/>
      <c r="N8" s="46"/>
      <c r="O8" s="107"/>
      <c r="P8" s="319"/>
      <c r="Q8" s="319"/>
      <c r="R8" s="319"/>
      <c r="S8" s="319"/>
      <c r="T8" s="320" t="s">
        <v>450</v>
      </c>
      <c r="U8" s="320"/>
      <c r="V8" s="320"/>
      <c r="W8" s="320"/>
      <c r="X8" s="92" t="s">
        <v>451</v>
      </c>
      <c r="Y8" s="92"/>
      <c r="Z8" s="92"/>
      <c r="AA8" s="92" t="s">
        <v>452</v>
      </c>
      <c r="AB8" s="92" t="s">
        <v>453</v>
      </c>
      <c r="AC8" s="108" t="s">
        <v>454</v>
      </c>
      <c r="AD8" s="108" t="s">
        <v>455</v>
      </c>
      <c r="AE8" s="108" t="s">
        <v>456</v>
      </c>
      <c r="AF8" s="108" t="s">
        <v>457</v>
      </c>
      <c r="AG8" s="108" t="s">
        <v>458</v>
      </c>
      <c r="AH8" s="108" t="s">
        <v>459</v>
      </c>
      <c r="AI8" s="108" t="s">
        <v>460</v>
      </c>
      <c r="AJ8" s="108" t="s">
        <v>461</v>
      </c>
      <c r="AK8" s="108" t="s">
        <v>462</v>
      </c>
      <c r="AL8" s="108" t="s">
        <v>463</v>
      </c>
      <c r="AM8" s="108" t="s">
        <v>464</v>
      </c>
      <c r="AN8" s="108" t="s">
        <v>465</v>
      </c>
      <c r="AO8" s="108" t="s">
        <v>466</v>
      </c>
      <c r="AP8" s="108" t="s">
        <v>467</v>
      </c>
      <c r="AQ8" s="108" t="s">
        <v>468</v>
      </c>
      <c r="AR8" s="108" t="s">
        <v>469</v>
      </c>
      <c r="AS8" s="108" t="s">
        <v>470</v>
      </c>
      <c r="AT8" s="108" t="s">
        <v>471</v>
      </c>
      <c r="AU8" s="108" t="s">
        <v>472</v>
      </c>
      <c r="AV8" s="108" t="s">
        <v>473</v>
      </c>
      <c r="AW8" s="108" t="s">
        <v>474</v>
      </c>
      <c r="AX8" s="108" t="s">
        <v>475</v>
      </c>
      <c r="AY8" s="108"/>
      <c r="AZ8" s="108" t="s">
        <v>476</v>
      </c>
      <c r="BA8" s="179" t="s">
        <v>477</v>
      </c>
      <c r="BB8" s="92" t="s">
        <v>478</v>
      </c>
      <c r="BC8" s="180" t="s">
        <v>479</v>
      </c>
      <c r="BD8" s="108" t="s">
        <v>480</v>
      </c>
      <c r="BE8" s="108" t="s">
        <v>481</v>
      </c>
      <c r="BF8" s="108" t="s">
        <v>482</v>
      </c>
      <c r="BG8" s="108" t="s">
        <v>1890</v>
      </c>
      <c r="BH8" s="108" t="s">
        <v>1871</v>
      </c>
      <c r="BI8" s="108" t="s">
        <v>1914</v>
      </c>
      <c r="BJ8" s="108" t="s">
        <v>2034</v>
      </c>
      <c r="BK8" s="108"/>
      <c r="BL8" s="11">
        <v>45785</v>
      </c>
      <c r="BM8" s="11">
        <v>45853</v>
      </c>
      <c r="BN8" s="10">
        <v>45964</v>
      </c>
      <c r="BO8" s="10"/>
    </row>
    <row r="9" spans="1:1046" s="187" customFormat="1" ht="150.75" customHeight="1" x14ac:dyDescent="0.25">
      <c r="A9" s="181"/>
      <c r="B9" s="315"/>
      <c r="C9" s="316"/>
      <c r="D9" s="317"/>
      <c r="E9" s="317"/>
      <c r="F9" s="318"/>
      <c r="G9" s="182" t="s">
        <v>120</v>
      </c>
      <c r="H9" s="321"/>
      <c r="I9" s="321"/>
      <c r="J9" s="321"/>
      <c r="K9" s="321"/>
      <c r="L9" s="183"/>
      <c r="M9" s="184"/>
      <c r="N9" s="184"/>
      <c r="O9" s="185"/>
      <c r="P9" s="322" t="s">
        <v>483</v>
      </c>
      <c r="Q9" s="322"/>
      <c r="R9" s="322"/>
      <c r="S9" s="322"/>
      <c r="T9" s="323" t="s">
        <v>484</v>
      </c>
      <c r="U9" s="324"/>
      <c r="V9" s="324"/>
      <c r="W9" s="324"/>
      <c r="X9" s="181"/>
      <c r="Y9" s="186"/>
      <c r="Z9" s="18" t="s">
        <v>485</v>
      </c>
      <c r="AA9" s="97" t="s">
        <v>486</v>
      </c>
      <c r="AB9" s="97" t="s">
        <v>487</v>
      </c>
      <c r="AC9" s="130" t="s">
        <v>488</v>
      </c>
      <c r="AD9" s="18" t="s">
        <v>489</v>
      </c>
      <c r="AE9" s="130" t="s">
        <v>490</v>
      </c>
      <c r="AF9" s="129" t="s">
        <v>491</v>
      </c>
      <c r="AG9" s="130" t="s">
        <v>492</v>
      </c>
      <c r="AH9" s="131" t="s">
        <v>493</v>
      </c>
      <c r="AI9" s="18" t="s">
        <v>494</v>
      </c>
      <c r="AJ9" s="18" t="s">
        <v>495</v>
      </c>
      <c r="AK9" s="18" t="s">
        <v>496</v>
      </c>
      <c r="AL9" s="18" t="s">
        <v>497</v>
      </c>
      <c r="AM9" s="18" t="s">
        <v>498</v>
      </c>
      <c r="AN9" s="18" t="s">
        <v>499</v>
      </c>
      <c r="AO9" s="18" t="s">
        <v>500</v>
      </c>
      <c r="AP9" s="130" t="s">
        <v>501</v>
      </c>
      <c r="AQ9" s="130" t="s">
        <v>502</v>
      </c>
      <c r="AR9" s="18" t="s">
        <v>503</v>
      </c>
      <c r="AS9" s="18" t="s">
        <v>504</v>
      </c>
      <c r="AT9" s="130" t="s">
        <v>505</v>
      </c>
      <c r="AU9" s="18" t="s">
        <v>506</v>
      </c>
      <c r="AV9" s="18" t="s">
        <v>507</v>
      </c>
      <c r="AW9" s="18"/>
      <c r="AX9" s="18"/>
      <c r="AY9" s="130" t="s">
        <v>508</v>
      </c>
      <c r="AZ9" s="18" t="s">
        <v>509</v>
      </c>
      <c r="BA9" s="130" t="s">
        <v>510</v>
      </c>
      <c r="BB9" s="129" t="s">
        <v>511</v>
      </c>
      <c r="BC9" s="130" t="s">
        <v>512</v>
      </c>
      <c r="BD9" s="130" t="s">
        <v>513</v>
      </c>
      <c r="BE9" s="18" t="s">
        <v>514</v>
      </c>
      <c r="BF9" s="18" t="s">
        <v>515</v>
      </c>
      <c r="BG9" s="18" t="s">
        <v>1891</v>
      </c>
      <c r="BH9" s="18" t="s">
        <v>1915</v>
      </c>
      <c r="BI9" s="18" t="s">
        <v>2035</v>
      </c>
      <c r="BJ9" s="18"/>
      <c r="BK9" s="18"/>
      <c r="BL9" s="132"/>
      <c r="BM9" s="133"/>
      <c r="BN9" s="132"/>
      <c r="BO9" s="133"/>
      <c r="BP9" s="181"/>
      <c r="BQ9" s="181"/>
      <c r="BR9" s="181"/>
      <c r="BS9" s="181"/>
      <c r="BT9" s="181"/>
      <c r="BU9" s="181"/>
      <c r="BV9" s="181"/>
      <c r="BW9" s="181"/>
      <c r="BX9" s="181"/>
      <c r="BY9" s="181"/>
      <c r="BZ9" s="181"/>
      <c r="CA9" s="181"/>
      <c r="CB9" s="181"/>
      <c r="CC9" s="181"/>
      <c r="CD9" s="181"/>
      <c r="CE9" s="181"/>
      <c r="CF9" s="181"/>
      <c r="CG9" s="181"/>
      <c r="CH9" s="181"/>
      <c r="CI9" s="181"/>
      <c r="CJ9" s="181"/>
      <c r="CK9" s="181"/>
      <c r="CL9" s="181"/>
      <c r="CM9" s="181"/>
      <c r="CN9" s="181"/>
      <c r="CO9" s="181"/>
      <c r="CP9" s="181"/>
      <c r="CQ9" s="181"/>
      <c r="CR9" s="181"/>
      <c r="CS9" s="181"/>
      <c r="CT9" s="181"/>
      <c r="CU9" s="181"/>
      <c r="CV9" s="181"/>
      <c r="CW9" s="181"/>
      <c r="CX9" s="181"/>
      <c r="CY9" s="181"/>
      <c r="CZ9" s="181"/>
      <c r="DA9" s="181"/>
      <c r="DB9" s="181"/>
      <c r="DC9" s="181"/>
      <c r="DD9" s="181"/>
      <c r="DE9" s="181"/>
      <c r="DF9" s="181"/>
      <c r="DG9" s="181"/>
      <c r="DH9" s="181"/>
      <c r="DI9" s="181"/>
      <c r="DJ9" s="181"/>
      <c r="DK9" s="181"/>
      <c r="DL9" s="181"/>
      <c r="DM9" s="181"/>
      <c r="DN9" s="181"/>
      <c r="DO9" s="181"/>
      <c r="DP9" s="181"/>
      <c r="DQ9" s="181"/>
      <c r="DR9" s="181"/>
      <c r="DS9" s="181"/>
      <c r="DT9" s="181"/>
      <c r="DU9" s="181"/>
      <c r="DV9" s="181"/>
      <c r="DW9" s="181"/>
      <c r="DX9" s="181"/>
      <c r="DY9" s="181"/>
      <c r="DZ9" s="181"/>
      <c r="EA9" s="181"/>
      <c r="EB9" s="181"/>
      <c r="EC9" s="181"/>
      <c r="ED9" s="181"/>
      <c r="EE9" s="181"/>
      <c r="EF9" s="181"/>
      <c r="EG9" s="181"/>
      <c r="EH9" s="181"/>
      <c r="EI9" s="181"/>
      <c r="EJ9" s="181"/>
      <c r="EK9" s="181"/>
      <c r="EL9" s="181"/>
      <c r="EM9" s="181"/>
      <c r="EN9" s="181"/>
      <c r="EO9" s="181"/>
      <c r="EP9" s="181"/>
      <c r="EQ9" s="181"/>
      <c r="ER9" s="181"/>
      <c r="ES9" s="181"/>
      <c r="ET9" s="181"/>
      <c r="EU9" s="181"/>
      <c r="EV9" s="181"/>
      <c r="EW9" s="181"/>
      <c r="EX9" s="181"/>
      <c r="EY9" s="181"/>
      <c r="EZ9" s="181"/>
      <c r="FA9" s="181"/>
      <c r="FB9" s="181"/>
      <c r="FC9" s="181"/>
      <c r="FD9" s="181"/>
      <c r="FE9" s="181"/>
      <c r="FF9" s="181"/>
      <c r="FG9" s="181"/>
      <c r="FH9" s="181"/>
      <c r="FI9" s="181"/>
      <c r="FJ9" s="181"/>
      <c r="FK9" s="181"/>
      <c r="FL9" s="181"/>
      <c r="FM9" s="181"/>
      <c r="FN9" s="181"/>
      <c r="FO9" s="181"/>
      <c r="FP9" s="181"/>
      <c r="FQ9" s="181"/>
      <c r="FR9" s="181"/>
      <c r="FS9" s="181"/>
      <c r="FT9" s="181"/>
      <c r="FU9" s="181"/>
      <c r="FV9" s="181"/>
      <c r="FW9" s="181"/>
      <c r="FX9" s="181"/>
      <c r="FY9" s="181"/>
      <c r="FZ9" s="181"/>
      <c r="GA9" s="181"/>
      <c r="GB9" s="181"/>
      <c r="GC9" s="181"/>
      <c r="GD9" s="181"/>
      <c r="GE9" s="181"/>
      <c r="GF9" s="181"/>
      <c r="GG9" s="181"/>
      <c r="GH9" s="181"/>
      <c r="GI9" s="181"/>
      <c r="GJ9" s="181"/>
      <c r="GK9" s="181"/>
      <c r="GL9" s="181"/>
      <c r="GM9" s="181"/>
      <c r="GN9" s="181"/>
      <c r="GO9" s="181"/>
      <c r="GP9" s="181"/>
      <c r="GQ9" s="181"/>
      <c r="GR9" s="181"/>
      <c r="GS9" s="181"/>
      <c r="GT9" s="181"/>
      <c r="GU9" s="181"/>
      <c r="GV9" s="181"/>
      <c r="GW9" s="181"/>
      <c r="GX9" s="181"/>
      <c r="GY9" s="181"/>
      <c r="GZ9" s="181"/>
      <c r="HA9" s="181"/>
      <c r="HB9" s="181"/>
      <c r="HC9" s="181"/>
      <c r="HD9" s="181"/>
      <c r="HE9" s="181"/>
      <c r="HF9" s="181"/>
      <c r="HG9" s="181"/>
      <c r="HH9" s="181"/>
      <c r="HI9" s="181"/>
      <c r="HJ9" s="181"/>
      <c r="HK9" s="181"/>
      <c r="HL9" s="181"/>
      <c r="HM9" s="181"/>
      <c r="HN9" s="181"/>
      <c r="HO9" s="181"/>
      <c r="HP9" s="181"/>
      <c r="HQ9" s="181"/>
      <c r="HR9" s="181"/>
      <c r="HS9" s="181"/>
      <c r="HT9" s="181"/>
      <c r="HU9" s="181"/>
      <c r="HV9" s="181"/>
      <c r="HW9" s="181"/>
      <c r="HX9" s="181"/>
      <c r="HY9" s="181"/>
      <c r="HZ9" s="181"/>
      <c r="IA9" s="181"/>
      <c r="IB9" s="181"/>
      <c r="IC9" s="181"/>
      <c r="ID9" s="181"/>
      <c r="IE9" s="181"/>
      <c r="IF9" s="181"/>
      <c r="IG9" s="181"/>
      <c r="IH9" s="181"/>
      <c r="II9" s="181"/>
      <c r="IJ9" s="181"/>
      <c r="IK9" s="181"/>
      <c r="IL9" s="181"/>
      <c r="IM9" s="181"/>
      <c r="IN9" s="181"/>
      <c r="IO9" s="181"/>
      <c r="IP9" s="181"/>
      <c r="IQ9" s="181"/>
      <c r="IR9" s="181"/>
      <c r="IS9" s="181"/>
      <c r="IT9" s="181"/>
      <c r="IU9" s="181"/>
      <c r="IV9" s="181"/>
      <c r="IW9" s="181"/>
      <c r="IX9" s="181"/>
      <c r="IY9" s="181"/>
      <c r="IZ9" s="181"/>
      <c r="JA9" s="181"/>
      <c r="JB9" s="181"/>
      <c r="JC9" s="181"/>
      <c r="JD9" s="181"/>
      <c r="JE9" s="181"/>
      <c r="JF9" s="181"/>
      <c r="JG9" s="181"/>
      <c r="JH9" s="181"/>
      <c r="JI9" s="181"/>
      <c r="JJ9" s="181"/>
      <c r="JK9" s="181"/>
      <c r="JL9" s="181"/>
      <c r="JM9" s="181"/>
      <c r="JN9" s="181"/>
      <c r="JO9" s="181"/>
      <c r="JP9" s="181"/>
      <c r="JQ9" s="181"/>
      <c r="JR9" s="181"/>
      <c r="JS9" s="181"/>
      <c r="JT9" s="181"/>
      <c r="JU9" s="181"/>
      <c r="JV9" s="181"/>
      <c r="JW9" s="181"/>
      <c r="JX9" s="181"/>
      <c r="JY9" s="181"/>
      <c r="JZ9" s="181"/>
      <c r="KA9" s="181"/>
      <c r="KB9" s="181"/>
      <c r="KC9" s="181"/>
      <c r="KD9" s="181"/>
      <c r="KE9" s="181"/>
      <c r="KF9" s="181"/>
      <c r="KG9" s="181"/>
      <c r="KH9" s="181"/>
      <c r="KI9" s="181"/>
      <c r="KJ9" s="181"/>
      <c r="KK9" s="181"/>
      <c r="KL9" s="181"/>
      <c r="KM9" s="181"/>
      <c r="KN9" s="181"/>
      <c r="KO9" s="181"/>
      <c r="KP9" s="181"/>
      <c r="KQ9" s="181"/>
      <c r="KR9" s="181"/>
      <c r="KS9" s="181"/>
      <c r="KT9" s="181"/>
      <c r="KU9" s="181"/>
      <c r="KV9" s="181"/>
      <c r="KW9" s="181"/>
      <c r="KX9" s="181"/>
      <c r="KY9" s="181"/>
      <c r="KZ9" s="181"/>
      <c r="LA9" s="181"/>
      <c r="LB9" s="181"/>
      <c r="LC9" s="181"/>
      <c r="LD9" s="181"/>
      <c r="LE9" s="181"/>
      <c r="LF9" s="181"/>
      <c r="LG9" s="181"/>
      <c r="LH9" s="181"/>
      <c r="LI9" s="181"/>
      <c r="LJ9" s="181"/>
      <c r="LK9" s="181"/>
      <c r="LL9" s="181"/>
      <c r="LM9" s="181"/>
      <c r="LN9" s="181"/>
      <c r="LO9" s="181"/>
      <c r="LP9" s="181"/>
      <c r="LQ9" s="181"/>
      <c r="LR9" s="181"/>
      <c r="LS9" s="181"/>
      <c r="LT9" s="181"/>
      <c r="LU9" s="181"/>
      <c r="LV9" s="181"/>
      <c r="LW9" s="181"/>
      <c r="LX9" s="181"/>
      <c r="LY9" s="181"/>
      <c r="LZ9" s="181"/>
      <c r="MA9" s="181"/>
      <c r="MB9" s="181"/>
      <c r="MC9" s="181"/>
      <c r="MD9" s="181"/>
      <c r="ME9" s="181"/>
      <c r="MF9" s="181"/>
      <c r="MG9" s="181"/>
      <c r="MH9" s="181"/>
      <c r="MI9" s="181"/>
      <c r="MJ9" s="181"/>
      <c r="MK9" s="181"/>
      <c r="ML9" s="181"/>
      <c r="MM9" s="181"/>
      <c r="MN9" s="181"/>
      <c r="MO9" s="181"/>
      <c r="MP9" s="181"/>
      <c r="MQ9" s="181"/>
      <c r="MR9" s="181"/>
      <c r="MS9" s="181"/>
      <c r="MT9" s="181"/>
      <c r="MU9" s="181"/>
      <c r="MV9" s="181"/>
      <c r="MW9" s="181"/>
      <c r="MX9" s="181"/>
      <c r="MY9" s="181"/>
      <c r="MZ9" s="181"/>
      <c r="NA9" s="181"/>
      <c r="NB9" s="181"/>
      <c r="NC9" s="181"/>
      <c r="ND9" s="181"/>
      <c r="NE9" s="181"/>
      <c r="NF9" s="181"/>
      <c r="NG9" s="181"/>
      <c r="NH9" s="181"/>
      <c r="NI9" s="181"/>
      <c r="NJ9" s="181"/>
      <c r="NK9" s="181"/>
      <c r="NL9" s="181"/>
      <c r="NM9" s="181"/>
      <c r="NN9" s="181"/>
      <c r="NO9" s="181"/>
      <c r="NP9" s="181"/>
      <c r="NQ9" s="181"/>
      <c r="NR9" s="181"/>
      <c r="NS9" s="181"/>
      <c r="NT9" s="181"/>
      <c r="NU9" s="181"/>
      <c r="NV9" s="181"/>
      <c r="NW9" s="181"/>
      <c r="NX9" s="181"/>
      <c r="NY9" s="181"/>
      <c r="NZ9" s="181"/>
      <c r="OA9" s="181"/>
      <c r="OB9" s="181"/>
      <c r="OC9" s="181"/>
      <c r="OD9" s="181"/>
      <c r="OE9" s="181"/>
      <c r="OF9" s="181"/>
      <c r="OG9" s="181"/>
      <c r="OH9" s="181"/>
      <c r="OI9" s="181"/>
      <c r="OJ9" s="181"/>
      <c r="OK9" s="181"/>
      <c r="OL9" s="181"/>
      <c r="OM9" s="181"/>
      <c r="ON9" s="181"/>
      <c r="OO9" s="181"/>
      <c r="OP9" s="181"/>
      <c r="OQ9" s="181"/>
      <c r="OR9" s="181"/>
      <c r="OS9" s="181"/>
      <c r="OT9" s="181"/>
      <c r="OU9" s="181"/>
      <c r="OV9" s="181"/>
      <c r="OW9" s="181"/>
      <c r="OX9" s="181"/>
      <c r="OY9" s="181"/>
      <c r="OZ9" s="181"/>
      <c r="PA9" s="181"/>
      <c r="PB9" s="181"/>
      <c r="PC9" s="181"/>
      <c r="PD9" s="181"/>
      <c r="PE9" s="181"/>
      <c r="PF9" s="181"/>
      <c r="PG9" s="181"/>
      <c r="PH9" s="181"/>
      <c r="PI9" s="181"/>
      <c r="PJ9" s="181"/>
      <c r="PK9" s="181"/>
      <c r="PL9" s="181"/>
      <c r="PM9" s="181"/>
      <c r="PN9" s="181"/>
      <c r="PO9" s="181"/>
      <c r="PP9" s="181"/>
      <c r="PQ9" s="181"/>
      <c r="PR9" s="181"/>
      <c r="PS9" s="181"/>
      <c r="PT9" s="181"/>
      <c r="PU9" s="181"/>
      <c r="PV9" s="181"/>
      <c r="PW9" s="181"/>
      <c r="PX9" s="181"/>
      <c r="PY9" s="181"/>
      <c r="PZ9" s="181"/>
      <c r="QA9" s="181"/>
      <c r="QB9" s="181"/>
      <c r="QC9" s="181"/>
      <c r="QD9" s="181"/>
      <c r="QE9" s="181"/>
      <c r="QF9" s="181"/>
      <c r="QG9" s="181"/>
      <c r="QH9" s="181"/>
      <c r="QI9" s="181"/>
      <c r="QJ9" s="181"/>
      <c r="QK9" s="181"/>
      <c r="QL9" s="181"/>
      <c r="QM9" s="181"/>
      <c r="QN9" s="181"/>
      <c r="QO9" s="181"/>
      <c r="QP9" s="181"/>
      <c r="QQ9" s="181"/>
      <c r="QR9" s="181"/>
      <c r="QS9" s="181"/>
      <c r="QT9" s="181"/>
      <c r="QU9" s="181"/>
      <c r="QV9" s="181"/>
      <c r="QW9" s="181"/>
      <c r="QX9" s="181"/>
      <c r="QY9" s="181"/>
      <c r="QZ9" s="181"/>
      <c r="RA9" s="181"/>
      <c r="RB9" s="181"/>
      <c r="RC9" s="181"/>
      <c r="RD9" s="181"/>
      <c r="RE9" s="181"/>
      <c r="RF9" s="181"/>
      <c r="RG9" s="181"/>
      <c r="RH9" s="181"/>
      <c r="RI9" s="181"/>
      <c r="RJ9" s="181"/>
      <c r="RK9" s="181"/>
      <c r="RL9" s="181"/>
      <c r="RM9" s="181"/>
      <c r="RN9" s="181"/>
      <c r="RO9" s="181"/>
      <c r="RP9" s="181"/>
      <c r="RQ9" s="181"/>
      <c r="RR9" s="181"/>
      <c r="RS9" s="181"/>
      <c r="RT9" s="181"/>
      <c r="RU9" s="181"/>
      <c r="RV9" s="181"/>
      <c r="RW9" s="181"/>
      <c r="RX9" s="181"/>
      <c r="RY9" s="181"/>
      <c r="RZ9" s="181"/>
      <c r="SA9" s="181"/>
      <c r="SB9" s="181"/>
      <c r="SC9" s="181"/>
      <c r="SD9" s="181"/>
      <c r="SE9" s="181"/>
      <c r="SF9" s="181"/>
      <c r="SG9" s="181"/>
      <c r="SH9" s="181"/>
      <c r="SI9" s="181"/>
      <c r="SJ9" s="181"/>
      <c r="SK9" s="181"/>
      <c r="SL9" s="181"/>
      <c r="SM9" s="181"/>
      <c r="SN9" s="181"/>
      <c r="SO9" s="181"/>
      <c r="SP9" s="181"/>
      <c r="SQ9" s="181"/>
      <c r="SR9" s="181"/>
      <c r="SS9" s="181"/>
      <c r="ST9" s="181"/>
      <c r="SU9" s="181"/>
      <c r="SV9" s="181"/>
      <c r="SW9" s="181"/>
      <c r="SX9" s="181"/>
      <c r="SY9" s="181"/>
      <c r="SZ9" s="181"/>
      <c r="TA9" s="181"/>
      <c r="TB9" s="181"/>
      <c r="TC9" s="181"/>
      <c r="TD9" s="181"/>
      <c r="TE9" s="181"/>
      <c r="TF9" s="181"/>
      <c r="TG9" s="181"/>
      <c r="TH9" s="181"/>
      <c r="TI9" s="181"/>
      <c r="TJ9" s="181"/>
      <c r="TK9" s="181"/>
      <c r="TL9" s="181"/>
      <c r="TM9" s="181"/>
      <c r="TN9" s="181"/>
      <c r="TO9" s="181"/>
      <c r="TP9" s="181"/>
      <c r="TQ9" s="181"/>
      <c r="TR9" s="181"/>
      <c r="TS9" s="181"/>
      <c r="TT9" s="181"/>
      <c r="TU9" s="181"/>
      <c r="TV9" s="181"/>
      <c r="TW9" s="181"/>
      <c r="TX9" s="181"/>
      <c r="TY9" s="181"/>
      <c r="TZ9" s="181"/>
      <c r="UA9" s="181"/>
      <c r="UB9" s="181"/>
      <c r="UC9" s="181"/>
      <c r="UD9" s="181"/>
      <c r="UE9" s="181"/>
      <c r="UF9" s="181"/>
      <c r="UG9" s="181"/>
      <c r="UH9" s="181"/>
      <c r="UI9" s="181"/>
      <c r="UJ9" s="181"/>
      <c r="UK9" s="181"/>
      <c r="UL9" s="181"/>
      <c r="UM9" s="181"/>
      <c r="UN9" s="181"/>
      <c r="UO9" s="181"/>
      <c r="UP9" s="181"/>
      <c r="UQ9" s="181"/>
      <c r="UR9" s="181"/>
      <c r="US9" s="181"/>
      <c r="UT9" s="181"/>
      <c r="UU9" s="181"/>
      <c r="UV9" s="181"/>
      <c r="UW9" s="181"/>
      <c r="UX9" s="181"/>
      <c r="UY9" s="181"/>
      <c r="UZ9" s="181"/>
      <c r="VA9" s="181"/>
      <c r="VB9" s="181"/>
      <c r="VC9" s="181"/>
      <c r="VD9" s="181"/>
      <c r="VE9" s="181"/>
      <c r="VF9" s="181"/>
      <c r="VG9" s="181"/>
      <c r="VH9" s="181"/>
      <c r="VI9" s="181"/>
      <c r="VJ9" s="181"/>
      <c r="VK9" s="181"/>
      <c r="VL9" s="181"/>
      <c r="VM9" s="181"/>
      <c r="VN9" s="181"/>
      <c r="VO9" s="181"/>
      <c r="VP9" s="181"/>
      <c r="VQ9" s="181"/>
      <c r="VR9" s="181"/>
      <c r="VS9" s="181"/>
      <c r="VT9" s="181"/>
      <c r="VU9" s="181"/>
      <c r="VV9" s="181"/>
      <c r="VW9" s="181"/>
      <c r="VX9" s="181"/>
      <c r="VY9" s="181"/>
      <c r="VZ9" s="181"/>
      <c r="WA9" s="181"/>
      <c r="WB9" s="181"/>
      <c r="WC9" s="181"/>
      <c r="WD9" s="181"/>
      <c r="WE9" s="181"/>
      <c r="WF9" s="181"/>
      <c r="WG9" s="181"/>
      <c r="WH9" s="181"/>
      <c r="WI9" s="181"/>
      <c r="WJ9" s="181"/>
      <c r="WK9" s="181"/>
      <c r="WL9" s="181"/>
      <c r="WM9" s="181"/>
      <c r="WN9" s="181"/>
      <c r="WO9" s="181"/>
      <c r="WP9" s="181"/>
      <c r="WQ9" s="181"/>
      <c r="WR9" s="181"/>
      <c r="WS9" s="181"/>
      <c r="WT9" s="181"/>
      <c r="WU9" s="181"/>
      <c r="WV9" s="181"/>
      <c r="WW9" s="181"/>
      <c r="WX9" s="181"/>
      <c r="WY9" s="181"/>
      <c r="WZ9" s="181"/>
      <c r="XA9" s="181"/>
      <c r="XB9" s="181"/>
      <c r="XC9" s="181"/>
      <c r="XD9" s="181"/>
      <c r="XE9" s="181"/>
      <c r="XF9" s="181"/>
      <c r="XG9" s="181"/>
      <c r="XH9" s="181"/>
      <c r="XI9" s="181"/>
      <c r="XJ9" s="181"/>
      <c r="XK9" s="181"/>
      <c r="XL9" s="181"/>
      <c r="XM9" s="181"/>
      <c r="XN9" s="181"/>
      <c r="XO9" s="181"/>
      <c r="XP9" s="181"/>
      <c r="XQ9" s="181"/>
      <c r="XR9" s="181"/>
      <c r="XS9" s="181"/>
      <c r="XT9" s="181"/>
      <c r="XU9" s="181"/>
      <c r="XV9" s="181"/>
      <c r="XW9" s="181"/>
      <c r="XX9" s="181"/>
      <c r="XY9" s="181"/>
      <c r="XZ9" s="181"/>
      <c r="YA9" s="181"/>
      <c r="YB9" s="181"/>
      <c r="YC9" s="181"/>
      <c r="YD9" s="181"/>
      <c r="YE9" s="181"/>
      <c r="YF9" s="181"/>
      <c r="YG9" s="181"/>
      <c r="YH9" s="181"/>
      <c r="YI9" s="181"/>
      <c r="YJ9" s="181"/>
      <c r="YK9" s="181"/>
      <c r="YL9" s="181"/>
      <c r="YM9" s="181"/>
      <c r="YN9" s="181"/>
      <c r="YO9" s="181"/>
      <c r="YP9" s="181"/>
      <c r="YQ9" s="181"/>
      <c r="YR9" s="181"/>
      <c r="YS9" s="181"/>
      <c r="YT9" s="181"/>
      <c r="YU9" s="181"/>
      <c r="YV9" s="181"/>
      <c r="YW9" s="181"/>
      <c r="YX9" s="181"/>
      <c r="YY9" s="181"/>
      <c r="YZ9" s="181"/>
      <c r="ZA9" s="181"/>
      <c r="ZB9" s="181"/>
      <c r="ZC9" s="181"/>
      <c r="ZD9" s="181"/>
      <c r="ZE9" s="181"/>
      <c r="ZF9" s="181"/>
      <c r="ZG9" s="181"/>
      <c r="ZH9" s="181"/>
      <c r="ZI9" s="181"/>
      <c r="ZJ9" s="181"/>
      <c r="ZK9" s="181"/>
      <c r="ZL9" s="181"/>
      <c r="ZM9" s="181"/>
      <c r="ZN9" s="181"/>
      <c r="ZO9" s="181"/>
      <c r="ZP9" s="181"/>
      <c r="ZQ9" s="181"/>
      <c r="ZR9" s="181"/>
      <c r="ZS9" s="181"/>
      <c r="ZT9" s="181"/>
      <c r="ZU9" s="181"/>
      <c r="ZV9" s="181"/>
      <c r="ZW9" s="181"/>
      <c r="ZX9" s="181"/>
      <c r="ZY9" s="181"/>
      <c r="ZZ9" s="181"/>
      <c r="AAA9" s="181"/>
      <c r="AAB9" s="181"/>
      <c r="AAC9" s="181"/>
      <c r="AAD9" s="181"/>
      <c r="AAE9" s="181"/>
      <c r="AAF9" s="181"/>
      <c r="AAG9" s="181"/>
      <c r="AAH9" s="181"/>
      <c r="AAI9" s="181"/>
      <c r="AAJ9" s="181"/>
      <c r="AAK9" s="181"/>
      <c r="AAL9" s="181"/>
      <c r="AAM9" s="181"/>
      <c r="AAN9" s="181"/>
      <c r="AAO9" s="181"/>
      <c r="AAP9" s="181"/>
      <c r="AAQ9" s="181"/>
      <c r="AAR9" s="181"/>
      <c r="AAS9" s="181"/>
      <c r="AAT9" s="181"/>
      <c r="AAU9" s="181"/>
      <c r="AAV9" s="181"/>
      <c r="AAW9" s="181"/>
      <c r="AAX9" s="181"/>
      <c r="AAY9" s="181"/>
      <c r="AAZ9" s="181"/>
      <c r="ABA9" s="181"/>
      <c r="ABB9" s="181"/>
      <c r="ABC9" s="181"/>
      <c r="ABD9" s="181"/>
      <c r="ABE9" s="181"/>
      <c r="ABF9" s="181"/>
      <c r="ABG9" s="181"/>
      <c r="ABH9" s="181"/>
      <c r="ABI9" s="181"/>
      <c r="ABJ9" s="181"/>
      <c r="ABK9" s="181"/>
      <c r="ABL9" s="181"/>
      <c r="ABM9" s="181"/>
      <c r="ABN9" s="181"/>
      <c r="ABO9" s="181"/>
      <c r="ABP9" s="181"/>
      <c r="ABQ9" s="181"/>
      <c r="ABR9" s="181"/>
      <c r="ABS9" s="181"/>
      <c r="ABT9" s="181"/>
      <c r="ABU9" s="181"/>
      <c r="ABV9" s="181"/>
      <c r="ABW9" s="181"/>
      <c r="ABX9" s="181"/>
      <c r="ABY9" s="181"/>
      <c r="ABZ9" s="181"/>
      <c r="ACA9" s="181"/>
      <c r="ACB9" s="181"/>
      <c r="ACC9" s="181"/>
      <c r="ACD9" s="181"/>
      <c r="ACE9" s="181"/>
      <c r="ACF9" s="181"/>
      <c r="ACG9" s="181"/>
      <c r="ACH9" s="181"/>
      <c r="ACI9" s="181"/>
      <c r="ACJ9" s="181"/>
      <c r="ACK9" s="181"/>
      <c r="ACL9" s="181"/>
      <c r="ACM9" s="181"/>
      <c r="ACN9" s="181"/>
      <c r="ACO9" s="181"/>
      <c r="ACP9" s="181"/>
      <c r="ACQ9" s="181"/>
      <c r="ACR9" s="181"/>
      <c r="ACS9" s="181"/>
      <c r="ACT9" s="181"/>
      <c r="ACU9" s="181"/>
      <c r="ACV9" s="181"/>
      <c r="ACW9" s="181"/>
      <c r="ACX9" s="181"/>
      <c r="ACY9" s="181"/>
      <c r="ACZ9" s="181"/>
      <c r="ADA9" s="181"/>
      <c r="ADB9" s="181"/>
      <c r="ADC9" s="181"/>
      <c r="ADD9" s="181"/>
      <c r="ADE9" s="181"/>
      <c r="ADF9" s="181"/>
      <c r="ADG9" s="181"/>
      <c r="ADH9" s="181"/>
      <c r="ADI9" s="181"/>
      <c r="ADJ9" s="181"/>
      <c r="ADK9" s="181"/>
      <c r="ADL9" s="181"/>
      <c r="ADM9" s="181"/>
      <c r="ADN9" s="181"/>
      <c r="ADO9" s="181"/>
      <c r="ADP9" s="181"/>
      <c r="ADQ9" s="181"/>
      <c r="ADR9" s="181"/>
      <c r="ADS9" s="181"/>
      <c r="ADT9" s="181"/>
      <c r="ADU9" s="181"/>
      <c r="ADV9" s="181"/>
      <c r="ADW9" s="181"/>
      <c r="ADX9" s="181"/>
      <c r="ADY9" s="181"/>
      <c r="ADZ9" s="181"/>
      <c r="AEA9" s="181"/>
      <c r="AEB9" s="181"/>
      <c r="AEC9" s="181"/>
      <c r="AED9" s="181"/>
      <c r="AEE9" s="181"/>
      <c r="AEF9" s="181"/>
      <c r="AEG9" s="181"/>
      <c r="AEH9" s="181"/>
      <c r="AEI9" s="181"/>
      <c r="AEJ9" s="181"/>
      <c r="AEK9" s="181"/>
      <c r="AEL9" s="181"/>
      <c r="AEM9" s="181"/>
      <c r="AEN9" s="181"/>
      <c r="AEO9" s="181"/>
      <c r="AEP9" s="181"/>
      <c r="AEQ9" s="181"/>
      <c r="AER9" s="181"/>
      <c r="AES9" s="181"/>
      <c r="AET9" s="181"/>
      <c r="AEU9" s="181"/>
      <c r="AEV9" s="181"/>
      <c r="AEW9" s="181"/>
      <c r="AEX9" s="181"/>
      <c r="AEY9" s="181"/>
      <c r="AEZ9" s="181"/>
      <c r="AFA9" s="181"/>
      <c r="AFB9" s="181"/>
      <c r="AFC9" s="181"/>
      <c r="AFD9" s="181"/>
      <c r="AFE9" s="181"/>
      <c r="AFF9" s="181"/>
      <c r="AFG9" s="181"/>
      <c r="AFH9" s="181"/>
      <c r="AFI9" s="181"/>
      <c r="AFJ9" s="181"/>
      <c r="AFK9" s="181"/>
      <c r="AFL9" s="181"/>
      <c r="AFM9" s="181"/>
      <c r="AFN9" s="181"/>
      <c r="AFO9" s="181"/>
      <c r="AFP9" s="181"/>
      <c r="AFQ9" s="181"/>
      <c r="AFR9" s="181"/>
      <c r="AFS9" s="181"/>
      <c r="AFT9" s="181"/>
      <c r="AFU9" s="181"/>
      <c r="AFV9" s="181"/>
      <c r="AFW9" s="181"/>
      <c r="AFX9" s="181"/>
      <c r="AFY9" s="181"/>
      <c r="AFZ9" s="181"/>
      <c r="AGA9" s="181"/>
      <c r="AGB9" s="181"/>
      <c r="AGC9" s="181"/>
      <c r="AGD9" s="181"/>
      <c r="AGE9" s="181"/>
      <c r="AGF9" s="181"/>
      <c r="AGG9" s="181"/>
      <c r="AGH9" s="181"/>
      <c r="AGI9" s="181"/>
      <c r="AGJ9" s="181"/>
      <c r="AGK9" s="181"/>
      <c r="AGL9" s="181"/>
      <c r="AGM9" s="181"/>
      <c r="AGN9" s="181"/>
      <c r="AGO9" s="181"/>
      <c r="AGP9" s="181"/>
      <c r="AGQ9" s="181"/>
      <c r="AGR9" s="181"/>
      <c r="AGS9" s="181"/>
      <c r="AGT9" s="181"/>
      <c r="AGU9" s="181"/>
      <c r="AGV9" s="181"/>
      <c r="AGW9" s="181"/>
      <c r="AGX9" s="181"/>
      <c r="AGY9" s="181"/>
      <c r="AGZ9" s="181"/>
      <c r="AHA9" s="181"/>
      <c r="AHB9" s="181"/>
      <c r="AHC9" s="181"/>
      <c r="AHD9" s="181"/>
      <c r="AHE9" s="181"/>
      <c r="AHF9" s="181"/>
      <c r="AHG9" s="181"/>
      <c r="AHH9" s="181"/>
      <c r="AHI9" s="181"/>
      <c r="AHJ9" s="181"/>
      <c r="AHK9" s="181"/>
      <c r="AHL9" s="181"/>
      <c r="AHM9" s="181"/>
      <c r="AHN9" s="181"/>
      <c r="AHO9" s="181"/>
      <c r="AHP9" s="181"/>
      <c r="AHQ9" s="181"/>
      <c r="AHR9" s="181"/>
      <c r="AHS9" s="181"/>
      <c r="AHT9" s="181"/>
      <c r="AHU9" s="181"/>
      <c r="AHV9" s="181"/>
      <c r="AHW9" s="181"/>
      <c r="AHX9" s="181"/>
      <c r="AHY9" s="181"/>
      <c r="AHZ9" s="181"/>
      <c r="AIA9" s="181"/>
      <c r="AIB9" s="181"/>
      <c r="AIC9" s="181"/>
      <c r="AID9" s="181"/>
      <c r="AIE9" s="181"/>
      <c r="AIF9" s="181"/>
      <c r="AIG9" s="181"/>
      <c r="AIH9" s="181"/>
      <c r="AII9" s="181"/>
      <c r="AIJ9" s="181"/>
      <c r="AIK9" s="181"/>
      <c r="AIL9" s="181"/>
      <c r="AIM9" s="181"/>
      <c r="AIN9" s="181"/>
      <c r="AIO9" s="181"/>
      <c r="AIP9" s="181"/>
      <c r="AIQ9" s="181"/>
      <c r="AIR9" s="181"/>
      <c r="AIS9" s="181"/>
      <c r="AIT9" s="181"/>
      <c r="AIU9" s="181"/>
      <c r="AIV9" s="181"/>
      <c r="AIW9" s="181"/>
      <c r="AIX9" s="181"/>
      <c r="AIY9" s="181"/>
      <c r="AIZ9" s="181"/>
      <c r="AJA9" s="181"/>
      <c r="AJB9" s="181"/>
      <c r="AJC9" s="181"/>
      <c r="AJD9" s="181"/>
      <c r="AJE9" s="181"/>
      <c r="AJF9" s="181"/>
      <c r="AJG9" s="181"/>
      <c r="AJH9" s="181"/>
      <c r="AJI9" s="181"/>
      <c r="AJJ9" s="181"/>
      <c r="AJK9" s="181"/>
      <c r="AJL9" s="181"/>
      <c r="AJM9" s="181"/>
      <c r="AJN9" s="181"/>
      <c r="AJO9" s="181"/>
      <c r="AJP9" s="181"/>
      <c r="AJQ9" s="181"/>
      <c r="AJR9" s="181"/>
      <c r="AJS9" s="181"/>
      <c r="AJT9" s="181"/>
      <c r="AJU9" s="181"/>
      <c r="AJV9" s="181"/>
      <c r="AJW9" s="181"/>
      <c r="AJX9" s="181"/>
      <c r="AJY9" s="181"/>
      <c r="AJZ9" s="181"/>
      <c r="AKA9" s="181"/>
      <c r="AKB9" s="181"/>
      <c r="AKC9" s="181"/>
      <c r="AKD9" s="181"/>
      <c r="AKE9" s="181"/>
      <c r="AKF9" s="181"/>
      <c r="AKG9" s="181"/>
      <c r="AKH9" s="181"/>
      <c r="AKI9" s="181"/>
      <c r="AKJ9" s="181"/>
      <c r="AKK9" s="181"/>
      <c r="AKL9" s="181"/>
      <c r="AKM9" s="181"/>
      <c r="AKN9" s="181"/>
      <c r="AKO9" s="181"/>
      <c r="AKP9" s="181"/>
      <c r="AKQ9" s="181"/>
      <c r="AKR9" s="181"/>
      <c r="AKS9" s="181"/>
      <c r="AKT9" s="181"/>
      <c r="AKU9" s="181"/>
      <c r="AKV9" s="181"/>
      <c r="AKW9" s="181"/>
      <c r="AKX9" s="181"/>
      <c r="AKY9" s="181"/>
      <c r="AKZ9" s="181"/>
      <c r="ALA9" s="181"/>
      <c r="ALB9" s="181"/>
      <c r="ALC9" s="181"/>
      <c r="ALD9" s="181"/>
      <c r="ALE9" s="181"/>
      <c r="ALF9" s="181"/>
      <c r="ALG9" s="181"/>
      <c r="ALH9" s="181"/>
      <c r="ALI9" s="181"/>
      <c r="ALJ9" s="181"/>
      <c r="ALK9" s="181"/>
      <c r="ALL9" s="181"/>
      <c r="ALM9" s="181"/>
      <c r="ALN9" s="181"/>
      <c r="ALO9" s="181"/>
      <c r="ALP9" s="181"/>
      <c r="ALQ9" s="181"/>
      <c r="ALR9" s="181"/>
      <c r="ALS9" s="181"/>
      <c r="ALT9" s="181"/>
      <c r="ALU9" s="181"/>
      <c r="ALV9" s="181"/>
      <c r="ALW9" s="181"/>
      <c r="ALX9" s="181"/>
      <c r="ALY9" s="181"/>
      <c r="ALZ9" s="181"/>
      <c r="AMA9" s="181"/>
      <c r="AMB9" s="181"/>
      <c r="AMC9" s="181"/>
      <c r="AMD9" s="181"/>
      <c r="AME9" s="181"/>
      <c r="AMF9" s="181"/>
      <c r="AMG9" s="181"/>
      <c r="AMH9" s="181"/>
      <c r="AMI9" s="181"/>
      <c r="AMJ9" s="181"/>
      <c r="AMK9" s="181"/>
      <c r="AML9" s="181"/>
      <c r="AMM9" s="181"/>
      <c r="AMN9" s="181"/>
      <c r="AMO9" s="181"/>
      <c r="AMP9" s="181"/>
      <c r="AMQ9" s="181"/>
      <c r="AMR9" s="181"/>
      <c r="AMS9" s="181"/>
      <c r="AMT9" s="181"/>
      <c r="AMU9" s="181"/>
      <c r="AMV9" s="181"/>
      <c r="AMW9" s="181"/>
      <c r="AMX9" s="181"/>
      <c r="AMY9" s="181"/>
      <c r="AMZ9" s="181"/>
      <c r="ANA9" s="181"/>
      <c r="ANB9" s="181"/>
      <c r="ANC9" s="181"/>
      <c r="AND9" s="181"/>
      <c r="ANE9" s="181"/>
      <c r="ANF9" s="181"/>
    </row>
    <row r="10" spans="1:1046" ht="57" customHeight="1" x14ac:dyDescent="0.35">
      <c r="B10" s="304" t="s">
        <v>516</v>
      </c>
      <c r="C10" s="231" t="s">
        <v>354</v>
      </c>
      <c r="D10" s="232" t="s">
        <v>517</v>
      </c>
      <c r="E10" s="232" t="s">
        <v>518</v>
      </c>
      <c r="F10" s="225" t="s">
        <v>519</v>
      </c>
      <c r="G10" s="15" t="s">
        <v>84</v>
      </c>
      <c r="H10" s="289" t="s">
        <v>520</v>
      </c>
      <c r="I10" s="289"/>
      <c r="J10" s="289"/>
      <c r="K10" s="289"/>
      <c r="L10" s="46" t="s">
        <v>521</v>
      </c>
      <c r="M10" s="46"/>
      <c r="N10" s="46" t="s">
        <v>522</v>
      </c>
      <c r="O10" s="60" t="s">
        <v>522</v>
      </c>
      <c r="P10" s="288" t="s">
        <v>522</v>
      </c>
      <c r="Q10" s="288"/>
      <c r="R10" s="288"/>
      <c r="S10" s="288"/>
      <c r="T10" s="288" t="s">
        <v>522</v>
      </c>
      <c r="U10" s="288"/>
      <c r="V10" s="288"/>
      <c r="W10" s="288"/>
      <c r="X10" s="288" t="s">
        <v>522</v>
      </c>
      <c r="Y10" s="288"/>
      <c r="Z10" s="288"/>
      <c r="AA10" s="288"/>
      <c r="AB10" s="301"/>
      <c r="AC10" s="288" t="s">
        <v>522</v>
      </c>
      <c r="AD10" s="288"/>
      <c r="AE10" s="288"/>
      <c r="AF10" s="288"/>
      <c r="AG10" s="286" t="s">
        <v>523</v>
      </c>
      <c r="AH10" s="288"/>
      <c r="AI10" s="288"/>
      <c r="AJ10" s="288"/>
      <c r="AK10" s="305" t="s">
        <v>524</v>
      </c>
      <c r="AL10" s="306"/>
      <c r="AM10" s="306"/>
      <c r="AN10" s="306"/>
      <c r="AO10" s="307"/>
      <c r="AP10" s="152" t="s">
        <v>525</v>
      </c>
      <c r="AQ10" s="92"/>
      <c r="AR10" s="161"/>
      <c r="AS10" s="92"/>
      <c r="AT10" s="11" t="s">
        <v>526</v>
      </c>
      <c r="AU10" s="108"/>
      <c r="AV10" s="11" t="s">
        <v>527</v>
      </c>
      <c r="AW10" s="163" t="s">
        <v>528</v>
      </c>
      <c r="AX10" s="170" t="s">
        <v>529</v>
      </c>
      <c r="AY10" s="301" t="s">
        <v>529</v>
      </c>
      <c r="AZ10" s="302"/>
      <c r="BA10" s="302"/>
      <c r="BB10" s="286" t="s">
        <v>530</v>
      </c>
      <c r="BC10" s="288"/>
      <c r="BD10" s="288"/>
      <c r="BE10" s="288"/>
      <c r="BF10" s="288"/>
      <c r="BG10" s="303" t="s">
        <v>1877</v>
      </c>
      <c r="BH10" s="303"/>
      <c r="BI10" s="303"/>
      <c r="BJ10" s="303"/>
      <c r="BK10" s="303"/>
      <c r="BL10" s="171">
        <v>45536</v>
      </c>
      <c r="BM10" s="11">
        <v>45536</v>
      </c>
      <c r="BN10" s="11">
        <v>45658</v>
      </c>
      <c r="BO10" s="10"/>
    </row>
    <row r="11" spans="1:1046" ht="44.25" customHeight="1" x14ac:dyDescent="0.35">
      <c r="B11" s="304"/>
      <c r="C11" s="231"/>
      <c r="D11" s="232"/>
      <c r="E11" s="232"/>
      <c r="F11" s="225"/>
      <c r="G11" s="12" t="s">
        <v>120</v>
      </c>
      <c r="H11" s="283" t="s">
        <v>531</v>
      </c>
      <c r="I11" s="283"/>
      <c r="J11" s="283"/>
      <c r="K11" s="283"/>
      <c r="L11" s="47" t="s">
        <v>532</v>
      </c>
      <c r="M11" s="47"/>
      <c r="N11" s="47"/>
      <c r="O11" s="85"/>
      <c r="P11" s="312" t="s">
        <v>533</v>
      </c>
      <c r="Q11" s="312"/>
      <c r="R11" s="312"/>
      <c r="S11" s="312"/>
      <c r="T11" s="313" t="s">
        <v>522</v>
      </c>
      <c r="U11" s="313"/>
      <c r="V11" s="313"/>
      <c r="W11" s="313"/>
      <c r="X11" s="313"/>
      <c r="Y11" s="313"/>
      <c r="Z11" s="313"/>
      <c r="AA11" s="313"/>
      <c r="AB11" s="313"/>
      <c r="AC11" s="308" t="s">
        <v>522</v>
      </c>
      <c r="AD11" s="308"/>
      <c r="AE11" s="308"/>
      <c r="AF11" s="308"/>
      <c r="AG11" s="314" t="s">
        <v>534</v>
      </c>
      <c r="AH11" s="313"/>
      <c r="AI11" s="313"/>
      <c r="AJ11" s="313"/>
      <c r="AK11" s="299" t="s">
        <v>535</v>
      </c>
      <c r="AL11" s="300"/>
      <c r="AM11" s="300"/>
      <c r="AN11" s="300"/>
      <c r="AO11" s="300"/>
      <c r="AP11" s="299" t="s">
        <v>536</v>
      </c>
      <c r="AQ11" s="300"/>
      <c r="AR11" s="300"/>
      <c r="AS11" s="300"/>
      <c r="AT11" s="162" t="s">
        <v>537</v>
      </c>
      <c r="AU11" s="162" t="s">
        <v>538</v>
      </c>
      <c r="AV11" s="164" t="s">
        <v>539</v>
      </c>
      <c r="AW11" s="18" t="s">
        <v>540</v>
      </c>
      <c r="AX11" s="18" t="s">
        <v>529</v>
      </c>
      <c r="AY11" s="308" t="s">
        <v>529</v>
      </c>
      <c r="AZ11" s="308"/>
      <c r="BA11" s="308"/>
      <c r="BB11" s="308"/>
      <c r="BC11" s="309"/>
      <c r="BD11" s="308"/>
      <c r="BE11" s="308"/>
      <c r="BF11" s="308"/>
      <c r="BG11" s="310" t="s">
        <v>1878</v>
      </c>
      <c r="BH11" s="311"/>
      <c r="BI11" s="311"/>
      <c r="BJ11" s="311"/>
      <c r="BK11" s="311"/>
      <c r="BL11" s="172">
        <v>45536</v>
      </c>
      <c r="BM11" s="13">
        <v>45627</v>
      </c>
      <c r="BN11" s="13">
        <v>45658</v>
      </c>
      <c r="BO11" s="14"/>
    </row>
    <row r="12" spans="1:1046" ht="51" customHeight="1" x14ac:dyDescent="0.35">
      <c r="B12" s="281" t="s">
        <v>541</v>
      </c>
      <c r="C12" s="231" t="s">
        <v>542</v>
      </c>
      <c r="D12" s="232" t="s">
        <v>543</v>
      </c>
      <c r="E12" s="232" t="s">
        <v>544</v>
      </c>
      <c r="F12" s="225"/>
      <c r="G12" s="15" t="s">
        <v>84</v>
      </c>
      <c r="H12" s="289" t="s">
        <v>545</v>
      </c>
      <c r="I12" s="289"/>
      <c r="J12" s="289"/>
      <c r="K12" s="289"/>
      <c r="L12" s="46" t="s">
        <v>546</v>
      </c>
      <c r="M12" s="46" t="s">
        <v>547</v>
      </c>
      <c r="N12" s="60" t="s">
        <v>548</v>
      </c>
      <c r="O12" s="60"/>
      <c r="P12" s="287" t="s">
        <v>549</v>
      </c>
      <c r="Q12" s="287"/>
      <c r="R12" s="287"/>
      <c r="S12" s="287"/>
      <c r="T12" s="286" t="s">
        <v>550</v>
      </c>
      <c r="U12" s="286"/>
      <c r="V12" s="286"/>
      <c r="W12" s="286"/>
      <c r="X12" s="290" t="s">
        <v>551</v>
      </c>
      <c r="Y12" s="290"/>
      <c r="Z12" s="290"/>
      <c r="AA12" s="290"/>
      <c r="AB12" s="290"/>
      <c r="AC12" s="291" t="s">
        <v>552</v>
      </c>
      <c r="AD12" s="292"/>
      <c r="AE12" s="292"/>
      <c r="AF12" s="293"/>
      <c r="AG12" s="286"/>
      <c r="AH12" s="286"/>
      <c r="AI12" s="286"/>
      <c r="AJ12" s="286"/>
      <c r="AK12" s="290"/>
      <c r="AL12" s="290"/>
      <c r="AM12" s="290"/>
      <c r="AN12" s="290"/>
      <c r="AO12" s="294"/>
      <c r="AP12" s="286"/>
      <c r="AQ12" s="286"/>
      <c r="AR12" s="286"/>
      <c r="AS12" s="286"/>
      <c r="AT12" s="286"/>
      <c r="AU12" s="286"/>
      <c r="AV12" s="286"/>
      <c r="AW12" s="286"/>
      <c r="AX12" s="173"/>
      <c r="AY12" s="287"/>
      <c r="AZ12" s="287"/>
      <c r="BA12" s="287"/>
      <c r="BB12" s="287" t="s">
        <v>553</v>
      </c>
      <c r="BC12" s="288"/>
      <c r="BD12" s="288"/>
      <c r="BE12" s="288"/>
      <c r="BF12" s="288"/>
      <c r="BG12" s="287" t="s">
        <v>1879</v>
      </c>
      <c r="BH12" s="287"/>
      <c r="BI12" s="287"/>
      <c r="BJ12" s="287"/>
      <c r="BK12" s="287"/>
      <c r="BL12" s="171">
        <v>45582</v>
      </c>
      <c r="BM12" s="11">
        <v>45590</v>
      </c>
      <c r="BN12" s="10"/>
      <c r="BO12" s="10"/>
    </row>
    <row r="13" spans="1:1046" ht="56.25" customHeight="1" x14ac:dyDescent="0.35">
      <c r="B13" s="281"/>
      <c r="C13" s="231"/>
      <c r="D13" s="232"/>
      <c r="E13" s="232"/>
      <c r="F13" s="225"/>
      <c r="G13" s="12" t="s">
        <v>120</v>
      </c>
      <c r="H13" s="295" t="s">
        <v>554</v>
      </c>
      <c r="I13" s="295"/>
      <c r="J13" s="295"/>
      <c r="K13" s="295"/>
      <c r="L13" s="47" t="s">
        <v>555</v>
      </c>
      <c r="M13" s="47" t="s">
        <v>556</v>
      </c>
      <c r="N13" s="86" t="s">
        <v>557</v>
      </c>
      <c r="O13" s="61"/>
      <c r="P13" s="281" t="s">
        <v>558</v>
      </c>
      <c r="Q13" s="281"/>
      <c r="R13" s="281"/>
      <c r="S13" s="281"/>
      <c r="T13" s="281" t="s">
        <v>559</v>
      </c>
      <c r="U13" s="281"/>
      <c r="V13" s="281"/>
      <c r="W13" s="281"/>
      <c r="X13" s="281" t="s">
        <v>560</v>
      </c>
      <c r="Y13" s="281"/>
      <c r="Z13" s="281"/>
      <c r="AA13" s="281"/>
      <c r="AB13" s="283"/>
      <c r="AC13" s="283" t="s">
        <v>561</v>
      </c>
      <c r="AD13" s="284"/>
      <c r="AE13" s="284"/>
      <c r="AF13" s="285"/>
      <c r="AG13" s="285"/>
      <c r="AH13" s="281"/>
      <c r="AI13" s="281"/>
      <c r="AJ13" s="281"/>
      <c r="AK13" s="283"/>
      <c r="AL13" s="284"/>
      <c r="AM13" s="284"/>
      <c r="AN13" s="284"/>
      <c r="AO13" s="285"/>
      <c r="AP13" s="285"/>
      <c r="AQ13" s="281"/>
      <c r="AR13" s="281"/>
      <c r="AS13" s="281"/>
      <c r="AT13" s="285"/>
      <c r="AU13" s="281"/>
      <c r="AV13" s="281"/>
      <c r="AW13" s="281"/>
      <c r="AX13" s="135"/>
      <c r="AY13" s="281"/>
      <c r="AZ13" s="281"/>
      <c r="BA13" s="281"/>
      <c r="BB13" s="281" t="s">
        <v>562</v>
      </c>
      <c r="BC13" s="281"/>
      <c r="BD13" s="281"/>
      <c r="BE13" s="281"/>
      <c r="BF13" s="281"/>
      <c r="BG13" s="281" t="s">
        <v>1880</v>
      </c>
      <c r="BH13" s="281"/>
      <c r="BI13" s="281"/>
      <c r="BJ13" s="281"/>
      <c r="BK13" s="281"/>
      <c r="BL13" s="169"/>
      <c r="BM13" s="14"/>
      <c r="BN13" s="13"/>
      <c r="BO13" s="14"/>
    </row>
    <row r="14" spans="1:1046" ht="81" customHeight="1" x14ac:dyDescent="0.35">
      <c r="B14" s="296" t="s">
        <v>563</v>
      </c>
      <c r="C14" s="296" t="s">
        <v>448</v>
      </c>
      <c r="D14" s="297" t="s">
        <v>81</v>
      </c>
      <c r="E14" s="297" t="s">
        <v>81</v>
      </c>
      <c r="F14" s="298" t="s">
        <v>564</v>
      </c>
      <c r="G14" s="26" t="s">
        <v>84</v>
      </c>
      <c r="H14" s="3" t="s">
        <v>565</v>
      </c>
      <c r="I14" s="3" t="s">
        <v>566</v>
      </c>
      <c r="J14" s="3" t="s">
        <v>567</v>
      </c>
      <c r="K14" s="3" t="s">
        <v>568</v>
      </c>
      <c r="L14" s="3" t="s">
        <v>569</v>
      </c>
      <c r="M14" s="3" t="s">
        <v>570</v>
      </c>
      <c r="N14" s="3" t="s">
        <v>571</v>
      </c>
      <c r="O14" s="3" t="s">
        <v>572</v>
      </c>
      <c r="P14" s="3" t="s">
        <v>573</v>
      </c>
      <c r="Q14" s="3" t="s">
        <v>574</v>
      </c>
      <c r="R14" s="3" t="s">
        <v>575</v>
      </c>
      <c r="S14" s="3" t="s">
        <v>576</v>
      </c>
      <c r="T14" s="3" t="s">
        <v>577</v>
      </c>
      <c r="U14" s="3" t="s">
        <v>578</v>
      </c>
      <c r="V14" s="3" t="s">
        <v>578</v>
      </c>
      <c r="W14" s="3" t="s">
        <v>579</v>
      </c>
      <c r="X14" s="3" t="s">
        <v>579</v>
      </c>
      <c r="Y14" s="3" t="s">
        <v>579</v>
      </c>
      <c r="Z14" s="3" t="s">
        <v>578</v>
      </c>
      <c r="AA14" s="3" t="s">
        <v>579</v>
      </c>
      <c r="AB14" s="3" t="s">
        <v>578</v>
      </c>
      <c r="AC14" s="3" t="s">
        <v>578</v>
      </c>
      <c r="AD14" s="3" t="s">
        <v>578</v>
      </c>
      <c r="AE14" s="3" t="s">
        <v>578</v>
      </c>
      <c r="AF14" s="3" t="s">
        <v>580</v>
      </c>
      <c r="AG14" s="3" t="s">
        <v>581</v>
      </c>
      <c r="AH14" s="3" t="s">
        <v>582</v>
      </c>
      <c r="AI14" s="3" t="s">
        <v>582</v>
      </c>
      <c r="AJ14" s="3" t="s">
        <v>583</v>
      </c>
      <c r="AK14" s="3"/>
      <c r="AL14" s="3"/>
      <c r="AM14" s="3"/>
      <c r="AN14" s="3"/>
      <c r="AO14" s="3"/>
      <c r="AP14" s="3" t="s">
        <v>581</v>
      </c>
      <c r="AQ14" s="3" t="s">
        <v>582</v>
      </c>
      <c r="AR14" s="3" t="s">
        <v>582</v>
      </c>
      <c r="AS14" s="3" t="s">
        <v>583</v>
      </c>
      <c r="AT14" s="3" t="s">
        <v>581</v>
      </c>
      <c r="AU14" s="3" t="s">
        <v>582</v>
      </c>
      <c r="AV14" s="3" t="s">
        <v>582</v>
      </c>
      <c r="AW14" s="3" t="s">
        <v>583</v>
      </c>
      <c r="AX14" s="3"/>
      <c r="AY14" s="174" t="s">
        <v>578</v>
      </c>
      <c r="AZ14" s="174" t="s">
        <v>578</v>
      </c>
      <c r="BA14" s="174" t="s">
        <v>578</v>
      </c>
      <c r="BB14" s="174" t="s">
        <v>584</v>
      </c>
      <c r="BC14" s="174" t="s">
        <v>581</v>
      </c>
      <c r="BD14" s="174" t="s">
        <v>582</v>
      </c>
      <c r="BE14" s="174" t="s">
        <v>582</v>
      </c>
      <c r="BF14" s="174" t="s">
        <v>583</v>
      </c>
      <c r="BG14" s="174" t="s">
        <v>1881</v>
      </c>
      <c r="BH14" s="174"/>
      <c r="BI14" s="174"/>
      <c r="BJ14" s="174"/>
      <c r="BK14" s="174"/>
      <c r="BL14" s="4">
        <v>45474</v>
      </c>
      <c r="BM14" s="4">
        <v>45505</v>
      </c>
      <c r="BN14" s="4">
        <v>45658</v>
      </c>
      <c r="BO14" s="4">
        <v>45748</v>
      </c>
    </row>
    <row r="15" spans="1:1046" ht="171.75" customHeight="1" x14ac:dyDescent="0.35">
      <c r="B15" s="296"/>
      <c r="C15" s="296"/>
      <c r="D15" s="297"/>
      <c r="E15" s="297"/>
      <c r="F15" s="298"/>
      <c r="G15" s="5" t="s">
        <v>120</v>
      </c>
      <c r="H15" s="6" t="s">
        <v>585</v>
      </c>
      <c r="I15" s="6" t="s">
        <v>586</v>
      </c>
      <c r="J15" s="6" t="s">
        <v>587</v>
      </c>
      <c r="K15" s="6" t="s">
        <v>568</v>
      </c>
      <c r="L15" s="6" t="s">
        <v>588</v>
      </c>
      <c r="M15" s="6" t="s">
        <v>589</v>
      </c>
      <c r="N15" s="6" t="s">
        <v>590</v>
      </c>
      <c r="O15" s="42" t="s">
        <v>591</v>
      </c>
      <c r="P15" s="6" t="s">
        <v>592</v>
      </c>
      <c r="Q15" s="6" t="s">
        <v>593</v>
      </c>
      <c r="R15" s="6" t="s">
        <v>594</v>
      </c>
      <c r="S15" s="6" t="s">
        <v>595</v>
      </c>
      <c r="T15" s="6" t="s">
        <v>596</v>
      </c>
      <c r="U15" s="6" t="s">
        <v>597</v>
      </c>
      <c r="V15" s="6" t="s">
        <v>598</v>
      </c>
      <c r="W15" s="6" t="s">
        <v>599</v>
      </c>
      <c r="X15" s="6" t="s">
        <v>600</v>
      </c>
      <c r="Y15" s="6" t="s">
        <v>601</v>
      </c>
      <c r="Z15" s="6" t="s">
        <v>602</v>
      </c>
      <c r="AA15" s="6" t="s">
        <v>603</v>
      </c>
      <c r="AB15" s="6" t="s">
        <v>603</v>
      </c>
      <c r="AC15" s="6" t="s">
        <v>604</v>
      </c>
      <c r="AD15" s="6" t="s">
        <v>605</v>
      </c>
      <c r="AE15" s="6" t="s">
        <v>606</v>
      </c>
      <c r="AF15" s="6" t="s">
        <v>607</v>
      </c>
      <c r="AG15" s="6" t="s">
        <v>608</v>
      </c>
      <c r="AH15" s="6" t="s">
        <v>609</v>
      </c>
      <c r="AI15" s="6" t="s">
        <v>610</v>
      </c>
      <c r="AJ15" s="6"/>
      <c r="AK15" s="6"/>
      <c r="AL15" s="6"/>
      <c r="AM15" s="6"/>
      <c r="AN15" s="6"/>
      <c r="AO15" s="6"/>
      <c r="AP15" s="6" t="s">
        <v>608</v>
      </c>
      <c r="AQ15" s="6" t="s">
        <v>609</v>
      </c>
      <c r="AR15" s="6" t="s">
        <v>610</v>
      </c>
      <c r="AS15" s="6"/>
      <c r="AT15" s="6" t="s">
        <v>608</v>
      </c>
      <c r="AU15" s="6" t="s">
        <v>609</v>
      </c>
      <c r="AV15" s="6" t="s">
        <v>610</v>
      </c>
      <c r="AW15" s="6"/>
      <c r="AX15" s="6"/>
      <c r="AY15" s="6" t="s">
        <v>604</v>
      </c>
      <c r="AZ15" s="6" t="s">
        <v>605</v>
      </c>
      <c r="BA15" s="6" t="s">
        <v>606</v>
      </c>
      <c r="BB15" s="6" t="s">
        <v>611</v>
      </c>
      <c r="BC15" s="6" t="s">
        <v>608</v>
      </c>
      <c r="BD15" s="6" t="s">
        <v>609</v>
      </c>
      <c r="BE15" s="6" t="s">
        <v>610</v>
      </c>
      <c r="BF15" s="6"/>
      <c r="BG15" s="6" t="s">
        <v>1882</v>
      </c>
      <c r="BH15" s="6"/>
      <c r="BI15" s="6"/>
      <c r="BJ15" s="6"/>
      <c r="BK15" s="6"/>
      <c r="BL15" s="7">
        <v>45474</v>
      </c>
      <c r="BM15" s="7">
        <v>45541</v>
      </c>
      <c r="BN15" s="7">
        <v>45667</v>
      </c>
      <c r="BO15" s="7"/>
    </row>
    <row r="16" spans="1:1046" ht="51" customHeight="1" x14ac:dyDescent="0.35">
      <c r="B16" s="281" t="s">
        <v>612</v>
      </c>
      <c r="C16" s="231" t="s">
        <v>613</v>
      </c>
      <c r="D16" s="232" t="s">
        <v>517</v>
      </c>
      <c r="E16" s="232" t="s">
        <v>238</v>
      </c>
      <c r="F16" s="225"/>
      <c r="G16" s="15" t="s">
        <v>84</v>
      </c>
      <c r="H16" s="289"/>
      <c r="I16" s="289"/>
      <c r="J16" s="289"/>
      <c r="K16" s="289"/>
      <c r="L16" s="46"/>
      <c r="M16" s="46"/>
      <c r="N16" s="60"/>
      <c r="O16" s="60"/>
      <c r="P16" s="287"/>
      <c r="Q16" s="287"/>
      <c r="R16" s="287"/>
      <c r="S16" s="287"/>
      <c r="T16" s="286"/>
      <c r="U16" s="286"/>
      <c r="V16" s="286"/>
      <c r="W16" s="286"/>
      <c r="X16" s="290"/>
      <c r="Y16" s="290"/>
      <c r="Z16" s="290"/>
      <c r="AA16" s="290"/>
      <c r="AB16" s="290"/>
      <c r="AC16" s="291"/>
      <c r="AD16" s="292"/>
      <c r="AE16" s="292"/>
      <c r="AF16" s="293"/>
      <c r="AG16" s="286"/>
      <c r="AH16" s="286"/>
      <c r="AI16" s="286"/>
      <c r="AJ16" s="286"/>
      <c r="AK16" s="290"/>
      <c r="AL16" s="290"/>
      <c r="AM16" s="290"/>
      <c r="AN16" s="290"/>
      <c r="AO16" s="294"/>
      <c r="AP16" s="286"/>
      <c r="AQ16" s="286"/>
      <c r="AR16" s="286"/>
      <c r="AS16" s="286"/>
      <c r="AT16" s="286"/>
      <c r="AU16" s="286"/>
      <c r="AV16" s="286"/>
      <c r="AW16" s="286"/>
      <c r="AX16" s="173"/>
      <c r="AY16" s="287"/>
      <c r="AZ16" s="287"/>
      <c r="BA16" s="287"/>
      <c r="BB16" s="287" t="s">
        <v>614</v>
      </c>
      <c r="BC16" s="288"/>
      <c r="BD16" s="288"/>
      <c r="BE16" s="288"/>
      <c r="BF16" s="288"/>
      <c r="BG16" s="287" t="s">
        <v>1883</v>
      </c>
      <c r="BH16" s="287"/>
      <c r="BI16" s="287"/>
      <c r="BJ16" s="287"/>
      <c r="BK16" s="287"/>
      <c r="BL16" s="171">
        <v>45582</v>
      </c>
      <c r="BM16" s="11">
        <v>45590</v>
      </c>
      <c r="BN16" s="10"/>
      <c r="BO16" s="10"/>
    </row>
    <row r="17" spans="2:67" ht="56.25" customHeight="1" x14ac:dyDescent="0.35">
      <c r="B17" s="281"/>
      <c r="C17" s="231"/>
      <c r="D17" s="232"/>
      <c r="E17" s="232"/>
      <c r="F17" s="225"/>
      <c r="G17" s="12" t="s">
        <v>120</v>
      </c>
      <c r="H17" s="295"/>
      <c r="I17" s="295"/>
      <c r="J17" s="295"/>
      <c r="K17" s="295"/>
      <c r="L17" s="47"/>
      <c r="M17" s="47"/>
      <c r="N17" s="86"/>
      <c r="O17" s="61"/>
      <c r="P17" s="281"/>
      <c r="Q17" s="281"/>
      <c r="R17" s="281"/>
      <c r="S17" s="281"/>
      <c r="T17" s="281"/>
      <c r="U17" s="281"/>
      <c r="V17" s="281"/>
      <c r="W17" s="281"/>
      <c r="X17" s="281"/>
      <c r="Y17" s="281"/>
      <c r="Z17" s="281"/>
      <c r="AA17" s="281"/>
      <c r="AB17" s="283"/>
      <c r="AC17" s="283"/>
      <c r="AD17" s="284"/>
      <c r="AE17" s="284"/>
      <c r="AF17" s="285"/>
      <c r="AG17" s="285"/>
      <c r="AH17" s="281"/>
      <c r="AI17" s="281"/>
      <c r="AJ17" s="281"/>
      <c r="AK17" s="283"/>
      <c r="AL17" s="284"/>
      <c r="AM17" s="284"/>
      <c r="AN17" s="284"/>
      <c r="AO17" s="285"/>
      <c r="AP17" s="285"/>
      <c r="AQ17" s="281"/>
      <c r="AR17" s="281"/>
      <c r="AS17" s="281"/>
      <c r="AT17" s="285"/>
      <c r="AU17" s="281"/>
      <c r="AV17" s="281"/>
      <c r="AW17" s="281"/>
      <c r="AX17" s="135"/>
      <c r="AY17" s="281"/>
      <c r="AZ17" s="281"/>
      <c r="BA17" s="281"/>
      <c r="BB17" s="281" t="s">
        <v>615</v>
      </c>
      <c r="BC17" s="281"/>
      <c r="BD17" s="281"/>
      <c r="BE17" s="281"/>
      <c r="BF17" s="281"/>
      <c r="BG17" s="281" t="s">
        <v>1884</v>
      </c>
      <c r="BH17" s="281"/>
      <c r="BI17" s="281"/>
      <c r="BJ17" s="281"/>
      <c r="BK17" s="281"/>
      <c r="BL17" s="169"/>
      <c r="BM17" s="14"/>
      <c r="BN17" s="13"/>
      <c r="BO17" s="14"/>
    </row>
    <row r="18" spans="2:67" ht="51" customHeight="1" x14ac:dyDescent="0.35">
      <c r="B18" s="281" t="s">
        <v>616</v>
      </c>
      <c r="C18" s="231" t="s">
        <v>617</v>
      </c>
      <c r="D18" s="232" t="s">
        <v>517</v>
      </c>
      <c r="E18" s="232" t="s">
        <v>238</v>
      </c>
      <c r="F18" s="225" t="s">
        <v>618</v>
      </c>
      <c r="G18" s="15" t="s">
        <v>84</v>
      </c>
      <c r="H18" s="289"/>
      <c r="I18" s="289"/>
      <c r="J18" s="289"/>
      <c r="K18" s="289"/>
      <c r="L18" s="46"/>
      <c r="M18" s="46"/>
      <c r="N18" s="60"/>
      <c r="O18" s="60"/>
      <c r="P18" s="287"/>
      <c r="Q18" s="287"/>
      <c r="R18" s="287"/>
      <c r="S18" s="287"/>
      <c r="T18" s="286"/>
      <c r="U18" s="286"/>
      <c r="V18" s="286"/>
      <c r="W18" s="286"/>
      <c r="X18" s="290"/>
      <c r="Y18" s="290"/>
      <c r="Z18" s="290"/>
      <c r="AA18" s="290"/>
      <c r="AB18" s="290"/>
      <c r="AC18" s="291"/>
      <c r="AD18" s="292"/>
      <c r="AE18" s="292"/>
      <c r="AF18" s="293"/>
      <c r="AG18" s="286"/>
      <c r="AH18" s="286"/>
      <c r="AI18" s="286"/>
      <c r="AJ18" s="286"/>
      <c r="AK18" s="290"/>
      <c r="AL18" s="290"/>
      <c r="AM18" s="290"/>
      <c r="AN18" s="290"/>
      <c r="AO18" s="294"/>
      <c r="AP18" s="286"/>
      <c r="AQ18" s="286"/>
      <c r="AR18" s="286"/>
      <c r="AS18" s="286"/>
      <c r="AT18" s="286"/>
      <c r="AU18" s="286"/>
      <c r="AV18" s="286"/>
      <c r="AW18" s="286"/>
      <c r="AX18" s="173"/>
      <c r="AY18" s="287"/>
      <c r="AZ18" s="287"/>
      <c r="BA18" s="287"/>
      <c r="BB18" s="287" t="s">
        <v>619</v>
      </c>
      <c r="BC18" s="288"/>
      <c r="BD18" s="288"/>
      <c r="BE18" s="288"/>
      <c r="BF18" s="288"/>
      <c r="BG18" s="287"/>
      <c r="BH18" s="287"/>
      <c r="BI18" s="287"/>
      <c r="BJ18" s="287"/>
      <c r="BK18" s="287"/>
      <c r="BL18" s="171"/>
      <c r="BM18" s="11"/>
      <c r="BN18" s="10"/>
      <c r="BO18" s="10"/>
    </row>
    <row r="19" spans="2:67" ht="56.25" customHeight="1" x14ac:dyDescent="0.35">
      <c r="B19" s="281"/>
      <c r="C19" s="231"/>
      <c r="D19" s="232"/>
      <c r="E19" s="232"/>
      <c r="F19" s="225"/>
      <c r="G19" s="12" t="s">
        <v>120</v>
      </c>
      <c r="H19" s="295"/>
      <c r="I19" s="295"/>
      <c r="J19" s="295"/>
      <c r="K19" s="295"/>
      <c r="L19" s="47"/>
      <c r="M19" s="47"/>
      <c r="N19" s="86"/>
      <c r="O19" s="61"/>
      <c r="P19" s="281"/>
      <c r="Q19" s="281"/>
      <c r="R19" s="281"/>
      <c r="S19" s="281"/>
      <c r="T19" s="281"/>
      <c r="U19" s="281"/>
      <c r="V19" s="281"/>
      <c r="W19" s="281"/>
      <c r="X19" s="281"/>
      <c r="Y19" s="281"/>
      <c r="Z19" s="281"/>
      <c r="AA19" s="281"/>
      <c r="AB19" s="283"/>
      <c r="AC19" s="283"/>
      <c r="AD19" s="284"/>
      <c r="AE19" s="284"/>
      <c r="AF19" s="285"/>
      <c r="AG19" s="285"/>
      <c r="AH19" s="281"/>
      <c r="AI19" s="281"/>
      <c r="AJ19" s="281"/>
      <c r="AK19" s="283"/>
      <c r="AL19" s="284"/>
      <c r="AM19" s="284"/>
      <c r="AN19" s="284"/>
      <c r="AO19" s="285"/>
      <c r="AP19" s="285"/>
      <c r="AQ19" s="281"/>
      <c r="AR19" s="281"/>
      <c r="AS19" s="281"/>
      <c r="AT19" s="285"/>
      <c r="AU19" s="281"/>
      <c r="AV19" s="281"/>
      <c r="AW19" s="281"/>
      <c r="AX19" s="135"/>
      <c r="AY19" s="281"/>
      <c r="AZ19" s="281"/>
      <c r="BA19" s="281"/>
      <c r="BB19" s="281"/>
      <c r="BC19" s="281"/>
      <c r="BD19" s="281"/>
      <c r="BE19" s="281"/>
      <c r="BF19" s="281"/>
      <c r="BG19" s="281"/>
      <c r="BH19" s="281"/>
      <c r="BI19" s="281"/>
      <c r="BJ19" s="281"/>
      <c r="BK19" s="281"/>
      <c r="BL19" s="169"/>
      <c r="BM19" s="14"/>
      <c r="BN19" s="13"/>
      <c r="BO19" s="14"/>
    </row>
    <row r="20" spans="2:67" ht="51" customHeight="1" x14ac:dyDescent="0.35">
      <c r="B20" s="281" t="s">
        <v>620</v>
      </c>
      <c r="C20" s="231"/>
      <c r="D20" s="232" t="s">
        <v>517</v>
      </c>
      <c r="E20" s="232" t="s">
        <v>238</v>
      </c>
      <c r="F20" s="225"/>
      <c r="G20" s="15" t="s">
        <v>84</v>
      </c>
      <c r="H20" s="289"/>
      <c r="I20" s="289"/>
      <c r="J20" s="289"/>
      <c r="K20" s="289"/>
      <c r="L20" s="46"/>
      <c r="M20" s="46"/>
      <c r="N20" s="60"/>
      <c r="O20" s="60"/>
      <c r="P20" s="287"/>
      <c r="Q20" s="287"/>
      <c r="R20" s="287"/>
      <c r="S20" s="287"/>
      <c r="T20" s="286"/>
      <c r="U20" s="286"/>
      <c r="V20" s="286"/>
      <c r="W20" s="286"/>
      <c r="X20" s="290"/>
      <c r="Y20" s="290"/>
      <c r="Z20" s="290"/>
      <c r="AA20" s="290"/>
      <c r="AB20" s="290"/>
      <c r="AC20" s="291"/>
      <c r="AD20" s="292"/>
      <c r="AE20" s="292"/>
      <c r="AF20" s="293"/>
      <c r="AG20" s="286"/>
      <c r="AH20" s="286"/>
      <c r="AI20" s="286"/>
      <c r="AJ20" s="286"/>
      <c r="AK20" s="290"/>
      <c r="AL20" s="290"/>
      <c r="AM20" s="290"/>
      <c r="AN20" s="290"/>
      <c r="AO20" s="294"/>
      <c r="AP20" s="286"/>
      <c r="AQ20" s="286"/>
      <c r="AR20" s="286"/>
      <c r="AS20" s="286"/>
      <c r="AT20" s="286"/>
      <c r="AU20" s="286"/>
      <c r="AV20" s="286"/>
      <c r="AW20" s="286"/>
      <c r="AX20" s="173"/>
      <c r="AY20" s="287"/>
      <c r="AZ20" s="287"/>
      <c r="BA20" s="287"/>
      <c r="BB20" s="287" t="s">
        <v>621</v>
      </c>
      <c r="BC20" s="288"/>
      <c r="BD20" s="288"/>
      <c r="BE20" s="288"/>
      <c r="BF20" s="288"/>
      <c r="BG20" s="287"/>
      <c r="BH20" s="287"/>
      <c r="BI20" s="287"/>
      <c r="BJ20" s="287"/>
      <c r="BK20" s="287"/>
      <c r="BL20" s="171"/>
      <c r="BM20" s="11"/>
      <c r="BN20" s="10"/>
      <c r="BO20" s="10"/>
    </row>
    <row r="21" spans="2:67" ht="56.25" customHeight="1" x14ac:dyDescent="0.35">
      <c r="B21" s="281"/>
      <c r="C21" s="231"/>
      <c r="D21" s="232"/>
      <c r="E21" s="232"/>
      <c r="F21" s="225"/>
      <c r="G21" s="12" t="s">
        <v>120</v>
      </c>
      <c r="H21" s="295"/>
      <c r="I21" s="295"/>
      <c r="J21" s="295"/>
      <c r="K21" s="295"/>
      <c r="L21" s="47"/>
      <c r="M21" s="47"/>
      <c r="N21" s="86"/>
      <c r="O21" s="61"/>
      <c r="P21" s="281"/>
      <c r="Q21" s="281"/>
      <c r="R21" s="281"/>
      <c r="S21" s="281"/>
      <c r="T21" s="281"/>
      <c r="U21" s="281"/>
      <c r="V21" s="281"/>
      <c r="W21" s="281"/>
      <c r="X21" s="281"/>
      <c r="Y21" s="281"/>
      <c r="Z21" s="281"/>
      <c r="AA21" s="281"/>
      <c r="AB21" s="283"/>
      <c r="AC21" s="283"/>
      <c r="AD21" s="284"/>
      <c r="AE21" s="284"/>
      <c r="AF21" s="285"/>
      <c r="AG21" s="285"/>
      <c r="AH21" s="281"/>
      <c r="AI21" s="281"/>
      <c r="AJ21" s="281"/>
      <c r="AK21" s="283"/>
      <c r="AL21" s="284"/>
      <c r="AM21" s="284"/>
      <c r="AN21" s="284"/>
      <c r="AO21" s="285"/>
      <c r="AP21" s="285"/>
      <c r="AQ21" s="281"/>
      <c r="AR21" s="281"/>
      <c r="AS21" s="281"/>
      <c r="AT21" s="285"/>
      <c r="AU21" s="281"/>
      <c r="AV21" s="281"/>
      <c r="AW21" s="281"/>
      <c r="AX21" s="135"/>
      <c r="AY21" s="281"/>
      <c r="AZ21" s="281"/>
      <c r="BA21" s="281"/>
      <c r="BB21" s="281" t="s">
        <v>622</v>
      </c>
      <c r="BC21" s="281"/>
      <c r="BD21" s="281"/>
      <c r="BE21" s="281"/>
      <c r="BF21" s="281"/>
      <c r="BG21" s="281"/>
      <c r="BH21" s="281"/>
      <c r="BI21" s="281"/>
      <c r="BJ21" s="281"/>
      <c r="BK21" s="281"/>
      <c r="BL21" s="169"/>
      <c r="BM21" s="14"/>
      <c r="BN21" s="13"/>
      <c r="BO21" s="14"/>
    </row>
    <row r="22" spans="2:67" ht="51" customHeight="1" x14ac:dyDescent="0.35">
      <c r="B22" s="281" t="s">
        <v>623</v>
      </c>
      <c r="C22" s="231"/>
      <c r="D22" s="232" t="s">
        <v>517</v>
      </c>
      <c r="E22" s="232" t="s">
        <v>238</v>
      </c>
      <c r="F22" s="225" t="s">
        <v>624</v>
      </c>
      <c r="G22" s="15" t="s">
        <v>84</v>
      </c>
      <c r="H22" s="289"/>
      <c r="I22" s="289"/>
      <c r="J22" s="289"/>
      <c r="K22" s="289"/>
      <c r="L22" s="46"/>
      <c r="M22" s="46"/>
      <c r="N22" s="60"/>
      <c r="O22" s="60"/>
      <c r="P22" s="287"/>
      <c r="Q22" s="287"/>
      <c r="R22" s="287"/>
      <c r="S22" s="287"/>
      <c r="T22" s="286"/>
      <c r="U22" s="286"/>
      <c r="V22" s="286"/>
      <c r="W22" s="286"/>
      <c r="X22" s="290"/>
      <c r="Y22" s="290"/>
      <c r="Z22" s="290"/>
      <c r="AA22" s="290"/>
      <c r="AB22" s="290"/>
      <c r="AC22" s="291"/>
      <c r="AD22" s="292"/>
      <c r="AE22" s="292"/>
      <c r="AF22" s="293"/>
      <c r="AG22" s="286"/>
      <c r="AH22" s="286"/>
      <c r="AI22" s="286"/>
      <c r="AJ22" s="286"/>
      <c r="AK22" s="290"/>
      <c r="AL22" s="290"/>
      <c r="AM22" s="290"/>
      <c r="AN22" s="290"/>
      <c r="AO22" s="294"/>
      <c r="AP22" s="286"/>
      <c r="AQ22" s="286"/>
      <c r="AR22" s="286"/>
      <c r="AS22" s="286"/>
      <c r="AT22" s="286"/>
      <c r="AU22" s="286"/>
      <c r="AV22" s="286"/>
      <c r="AW22" s="286"/>
      <c r="AX22" s="173"/>
      <c r="AY22" s="287"/>
      <c r="AZ22" s="287"/>
      <c r="BA22" s="287"/>
      <c r="BB22" s="287" t="s">
        <v>625</v>
      </c>
      <c r="BC22" s="288"/>
      <c r="BD22" s="288"/>
      <c r="BE22" s="288"/>
      <c r="BF22" s="288"/>
      <c r="BG22" s="287"/>
      <c r="BH22" s="287"/>
      <c r="BI22" s="287"/>
      <c r="BJ22" s="287"/>
      <c r="BK22" s="287"/>
      <c r="BL22" s="171"/>
      <c r="BM22" s="11"/>
      <c r="BN22" s="10"/>
      <c r="BO22" s="10"/>
    </row>
    <row r="23" spans="2:67" ht="56.25" customHeight="1" x14ac:dyDescent="0.35">
      <c r="B23" s="281"/>
      <c r="C23" s="231"/>
      <c r="D23" s="232"/>
      <c r="E23" s="232"/>
      <c r="F23" s="225"/>
      <c r="G23" s="12" t="s">
        <v>120</v>
      </c>
      <c r="H23" s="295"/>
      <c r="I23" s="295"/>
      <c r="J23" s="295"/>
      <c r="K23" s="295"/>
      <c r="L23" s="47"/>
      <c r="M23" s="47"/>
      <c r="N23" s="86"/>
      <c r="O23" s="61"/>
      <c r="P23" s="281"/>
      <c r="Q23" s="281"/>
      <c r="R23" s="281"/>
      <c r="S23" s="281"/>
      <c r="T23" s="281"/>
      <c r="U23" s="281"/>
      <c r="V23" s="281"/>
      <c r="W23" s="281"/>
      <c r="X23" s="281"/>
      <c r="Y23" s="281"/>
      <c r="Z23" s="281"/>
      <c r="AA23" s="281"/>
      <c r="AB23" s="283"/>
      <c r="AC23" s="283"/>
      <c r="AD23" s="284"/>
      <c r="AE23" s="284"/>
      <c r="AF23" s="285"/>
      <c r="AG23" s="285"/>
      <c r="AH23" s="281"/>
      <c r="AI23" s="281"/>
      <c r="AJ23" s="281"/>
      <c r="AK23" s="283"/>
      <c r="AL23" s="284"/>
      <c r="AM23" s="284"/>
      <c r="AN23" s="284"/>
      <c r="AO23" s="285"/>
      <c r="AP23" s="285"/>
      <c r="AQ23" s="281"/>
      <c r="AR23" s="281"/>
      <c r="AS23" s="281"/>
      <c r="AT23" s="285"/>
      <c r="AU23" s="281"/>
      <c r="AV23" s="281"/>
      <c r="AW23" s="281"/>
      <c r="AX23" s="135"/>
      <c r="AY23" s="281"/>
      <c r="AZ23" s="281"/>
      <c r="BA23" s="281"/>
      <c r="BB23" s="281" t="s">
        <v>626</v>
      </c>
      <c r="BC23" s="281"/>
      <c r="BD23" s="281"/>
      <c r="BE23" s="281"/>
      <c r="BF23" s="281"/>
      <c r="BG23" s="281"/>
      <c r="BH23" s="281"/>
      <c r="BI23" s="281"/>
      <c r="BJ23" s="281"/>
      <c r="BK23" s="281"/>
      <c r="BL23" s="169"/>
      <c r="BM23" s="14"/>
      <c r="BN23" s="13"/>
      <c r="BO23" s="14"/>
    </row>
  </sheetData>
  <mergeCells count="217">
    <mergeCell ref="T2:W2"/>
    <mergeCell ref="X2:AB2"/>
    <mergeCell ref="AC2:AF2"/>
    <mergeCell ref="AG2:AJ2"/>
    <mergeCell ref="AK2:AO2"/>
    <mergeCell ref="AP2:AS2"/>
    <mergeCell ref="BL2:BO2"/>
    <mergeCell ref="B4:B5"/>
    <mergeCell ref="C4:C5"/>
    <mergeCell ref="D4:D5"/>
    <mergeCell ref="E4:E5"/>
    <mergeCell ref="F4:F5"/>
    <mergeCell ref="B6:B7"/>
    <mergeCell ref="C6:C7"/>
    <mergeCell ref="D6:D7"/>
    <mergeCell ref="E6:E7"/>
    <mergeCell ref="F6:F7"/>
    <mergeCell ref="AT2:AX2"/>
    <mergeCell ref="AY2:BB2"/>
    <mergeCell ref="BC2:BF2"/>
    <mergeCell ref="BG2:BK2"/>
    <mergeCell ref="B2:B3"/>
    <mergeCell ref="C2:C3"/>
    <mergeCell ref="D2:D3"/>
    <mergeCell ref="E2:E3"/>
    <mergeCell ref="F2:F3"/>
    <mergeCell ref="G2:G3"/>
    <mergeCell ref="H2:K2"/>
    <mergeCell ref="L2:O2"/>
    <mergeCell ref="P2:S2"/>
    <mergeCell ref="B8:B9"/>
    <mergeCell ref="C8:C9"/>
    <mergeCell ref="D8:D9"/>
    <mergeCell ref="E8:E9"/>
    <mergeCell ref="F8:F9"/>
    <mergeCell ref="H8:K8"/>
    <mergeCell ref="P8:S8"/>
    <mergeCell ref="T8:W8"/>
    <mergeCell ref="H9:K9"/>
    <mergeCell ref="P9:S9"/>
    <mergeCell ref="T9:W9"/>
    <mergeCell ref="AY10:BB10"/>
    <mergeCell ref="BC10:BF10"/>
    <mergeCell ref="BG10:BK10"/>
    <mergeCell ref="B10:B11"/>
    <mergeCell ref="C10:C11"/>
    <mergeCell ref="D10:D11"/>
    <mergeCell ref="E10:E11"/>
    <mergeCell ref="F10:F11"/>
    <mergeCell ref="H10:K10"/>
    <mergeCell ref="P10:S10"/>
    <mergeCell ref="T10:W10"/>
    <mergeCell ref="X10:AB10"/>
    <mergeCell ref="AC10:AF10"/>
    <mergeCell ref="AG10:AJ10"/>
    <mergeCell ref="AK10:AO10"/>
    <mergeCell ref="AY11:BB11"/>
    <mergeCell ref="BC11:BF11"/>
    <mergeCell ref="BG11:BK11"/>
    <mergeCell ref="H11:K11"/>
    <mergeCell ref="P11:S11"/>
    <mergeCell ref="T11:W11"/>
    <mergeCell ref="X11:AB11"/>
    <mergeCell ref="AC11:AF11"/>
    <mergeCell ref="AG11:AJ11"/>
    <mergeCell ref="AK11:AO11"/>
    <mergeCell ref="AP11:AS11"/>
    <mergeCell ref="AT12:AW12"/>
    <mergeCell ref="AY12:BB12"/>
    <mergeCell ref="BC12:BF12"/>
    <mergeCell ref="BG12:BK12"/>
    <mergeCell ref="B12:B13"/>
    <mergeCell ref="C12:C13"/>
    <mergeCell ref="D12:D13"/>
    <mergeCell ref="E12:E13"/>
    <mergeCell ref="F12:F13"/>
    <mergeCell ref="H12:K12"/>
    <mergeCell ref="P12:S12"/>
    <mergeCell ref="T12:W12"/>
    <mergeCell ref="X12:AB12"/>
    <mergeCell ref="AC12:AF12"/>
    <mergeCell ref="AG12:AJ12"/>
    <mergeCell ref="AK12:AO12"/>
    <mergeCell ref="AP12:AS12"/>
    <mergeCell ref="AT13:AW13"/>
    <mergeCell ref="AY13:BB13"/>
    <mergeCell ref="BC13:BF13"/>
    <mergeCell ref="BG13:BK13"/>
    <mergeCell ref="H13:K13"/>
    <mergeCell ref="P13:S13"/>
    <mergeCell ref="T13:W13"/>
    <mergeCell ref="X13:AB13"/>
    <mergeCell ref="AC13:AF13"/>
    <mergeCell ref="AG13:AJ13"/>
    <mergeCell ref="AK13:AO13"/>
    <mergeCell ref="AP13:AS13"/>
    <mergeCell ref="B14:B15"/>
    <mergeCell ref="C14:C15"/>
    <mergeCell ref="D14:D15"/>
    <mergeCell ref="E14:E15"/>
    <mergeCell ref="F14:F15"/>
    <mergeCell ref="AT16:AW16"/>
    <mergeCell ref="AY16:BB16"/>
    <mergeCell ref="BC16:BF16"/>
    <mergeCell ref="BG16:BK16"/>
    <mergeCell ref="B16:B17"/>
    <mergeCell ref="C16:C17"/>
    <mergeCell ref="D16:D17"/>
    <mergeCell ref="E16:E17"/>
    <mergeCell ref="F16:F17"/>
    <mergeCell ref="H16:K16"/>
    <mergeCell ref="P16:S16"/>
    <mergeCell ref="T16:W16"/>
    <mergeCell ref="X16:AB16"/>
    <mergeCell ref="AC16:AF16"/>
    <mergeCell ref="AG16:AJ16"/>
    <mergeCell ref="AK16:AO16"/>
    <mergeCell ref="AP16:AS16"/>
    <mergeCell ref="AT17:AW17"/>
    <mergeCell ref="AY17:BB17"/>
    <mergeCell ref="BC17:BF17"/>
    <mergeCell ref="BG17:BK17"/>
    <mergeCell ref="H17:K17"/>
    <mergeCell ref="P17:S17"/>
    <mergeCell ref="T17:W17"/>
    <mergeCell ref="B18:B19"/>
    <mergeCell ref="C18:C19"/>
    <mergeCell ref="D18:D19"/>
    <mergeCell ref="E18:E19"/>
    <mergeCell ref="F18:F19"/>
    <mergeCell ref="H18:K18"/>
    <mergeCell ref="P18:S18"/>
    <mergeCell ref="T18:W18"/>
    <mergeCell ref="X18:AB18"/>
    <mergeCell ref="H19:K19"/>
    <mergeCell ref="P19:S19"/>
    <mergeCell ref="T19:W19"/>
    <mergeCell ref="AT20:AW20"/>
    <mergeCell ref="AY20:BB20"/>
    <mergeCell ref="BC20:BF20"/>
    <mergeCell ref="BG20:BK20"/>
    <mergeCell ref="B20:B21"/>
    <mergeCell ref="C20:C21"/>
    <mergeCell ref="D20:D21"/>
    <mergeCell ref="E20:E21"/>
    <mergeCell ref="F20:F21"/>
    <mergeCell ref="H20:K20"/>
    <mergeCell ref="P20:S20"/>
    <mergeCell ref="T20:W20"/>
    <mergeCell ref="X20:AB20"/>
    <mergeCell ref="AC20:AF20"/>
    <mergeCell ref="AG20:AJ20"/>
    <mergeCell ref="AK20:AO20"/>
    <mergeCell ref="AP20:AS20"/>
    <mergeCell ref="AT21:AW21"/>
    <mergeCell ref="AY21:BB21"/>
    <mergeCell ref="BC21:BF21"/>
    <mergeCell ref="BG21:BK21"/>
    <mergeCell ref="H21:K21"/>
    <mergeCell ref="P21:S21"/>
    <mergeCell ref="T21:W21"/>
    <mergeCell ref="B22:B23"/>
    <mergeCell ref="C22:C23"/>
    <mergeCell ref="D22:D23"/>
    <mergeCell ref="E22:E23"/>
    <mergeCell ref="F22:F23"/>
    <mergeCell ref="H22:K22"/>
    <mergeCell ref="P22:S22"/>
    <mergeCell ref="T22:W22"/>
    <mergeCell ref="X22:AB22"/>
    <mergeCell ref="H23:K23"/>
    <mergeCell ref="P23:S23"/>
    <mergeCell ref="T23:W23"/>
    <mergeCell ref="X17:AB17"/>
    <mergeCell ref="AC17:AF17"/>
    <mergeCell ref="AG17:AJ17"/>
    <mergeCell ref="AK17:AO17"/>
    <mergeCell ref="AP17:AS17"/>
    <mergeCell ref="AT19:AW19"/>
    <mergeCell ref="AY19:BB19"/>
    <mergeCell ref="BC19:BF19"/>
    <mergeCell ref="BG19:BK19"/>
    <mergeCell ref="X19:AB19"/>
    <mergeCell ref="AC19:AF19"/>
    <mergeCell ref="AG19:AJ19"/>
    <mergeCell ref="AK19:AO19"/>
    <mergeCell ref="AP19:AS19"/>
    <mergeCell ref="AT18:AW18"/>
    <mergeCell ref="AY18:BB18"/>
    <mergeCell ref="BC18:BF18"/>
    <mergeCell ref="BG18:BK18"/>
    <mergeCell ref="AC18:AF18"/>
    <mergeCell ref="AG18:AJ18"/>
    <mergeCell ref="AK18:AO18"/>
    <mergeCell ref="AP18:AS18"/>
    <mergeCell ref="X21:AB21"/>
    <mergeCell ref="AC21:AF21"/>
    <mergeCell ref="AG21:AJ21"/>
    <mergeCell ref="AK21:AO21"/>
    <mergeCell ref="AP21:AS21"/>
    <mergeCell ref="AT23:AW23"/>
    <mergeCell ref="AY23:BB23"/>
    <mergeCell ref="BC23:BF23"/>
    <mergeCell ref="BG23:BK23"/>
    <mergeCell ref="X23:AB23"/>
    <mergeCell ref="AC23:AF23"/>
    <mergeCell ref="AG23:AJ23"/>
    <mergeCell ref="AK23:AO23"/>
    <mergeCell ref="AP23:AS23"/>
    <mergeCell ref="AT22:AW22"/>
    <mergeCell ref="AY22:BB22"/>
    <mergeCell ref="BC22:BF22"/>
    <mergeCell ref="BG22:BK22"/>
    <mergeCell ref="AC22:AF22"/>
    <mergeCell ref="AG22:AJ22"/>
    <mergeCell ref="AK22:AO22"/>
    <mergeCell ref="AP22:AS22"/>
  </mergeCells>
  <phoneticPr fontId="0" type="noConversion"/>
  <pageMargins left="0.70078740157480313" right="0.70078740157480313" top="0.75196850393700787" bottom="0.75196850393700787" header="0.29921259842519687" footer="0.29921259842519687"/>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基础数据!$C$2:$C$6</xm:f>
          </x14:formula1>
          <xm:sqref>E4 E6 E10 E12</xm:sqref>
        </x14:dataValidation>
        <x14:dataValidation type="list" allowBlank="1" showInputMessage="1" showErrorMessage="1" xr:uid="{00000000-0002-0000-0100-000001000000}">
          <x14:formula1>
            <xm:f>基础数据!$D$2:$D$9</xm:f>
          </x14:formula1>
          <xm:sqref>D4:E4 D6:E6 D10:E10 D12:E12 D8:E8 D22:E22 D20:E20 D18:E18 D16:E16 E14</xm:sqref>
        </x14:dataValidation>
        <x14:dataValidation type="list" allowBlank="1" showInputMessage="1" showErrorMessage="1" xr:uid="{00000000-0002-0000-0100-000003000000}">
          <x14:formula1>
            <xm:f>'[项目周月进度报告-生产运营.xlsx]基础数据'!#REF!</xm:f>
          </x14:formula1>
          <xm:sqref>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4A3B3-A794-43D1-BDB1-D45BF0F0B18C}">
  <sheetPr>
    <tabColor rgb="FFED7D31"/>
    <outlinePr summaryBelow="0" summaryRight="0"/>
  </sheetPr>
  <dimension ref="A1:ANE17"/>
  <sheetViews>
    <sheetView workbookViewId="0">
      <pane ySplit="2" topLeftCell="A3" activePane="bottomLeft" state="frozen"/>
      <selection pane="bottomLeft" activeCell="A3" sqref="A3"/>
    </sheetView>
  </sheetViews>
  <sheetFormatPr defaultRowHeight="60" customHeight="1" x14ac:dyDescent="0.25"/>
  <cols>
    <col min="1" max="1" width="3.33203125" hidden="1" customWidth="1"/>
    <col min="2" max="2" width="7.21875" customWidth="1"/>
    <col min="3" max="3" width="5.77734375" customWidth="1"/>
    <col min="4" max="4" width="10" customWidth="1"/>
    <col min="5" max="5" width="8.88671875" customWidth="1"/>
    <col min="6" max="6" width="15" customWidth="1"/>
    <col min="7" max="7" width="15.6640625" customWidth="1"/>
    <col min="8" max="21" width="3.77734375" hidden="1" customWidth="1"/>
    <col min="22" max="22" width="3.77734375" style="93" hidden="1" customWidth="1"/>
    <col min="23" max="23" width="3.77734375" style="94" hidden="1" customWidth="1"/>
    <col min="24" max="36" width="3.77734375" hidden="1" customWidth="1"/>
    <col min="37" max="41" width="15.21875" hidden="1" customWidth="1"/>
    <col min="42" max="45" width="3.77734375" hidden="1" customWidth="1"/>
    <col min="46" max="46" width="27.21875" hidden="1" customWidth="1"/>
    <col min="47" max="47" width="20.77734375" hidden="1" customWidth="1"/>
    <col min="48" max="48" width="18.33203125" hidden="1" customWidth="1"/>
    <col min="49" max="49" width="27.6640625" hidden="1" customWidth="1"/>
    <col min="50" max="50" width="23.33203125" hidden="1" customWidth="1"/>
    <col min="51" max="51" width="47.6640625" hidden="1" customWidth="1"/>
    <col min="52" max="52" width="40.6640625" hidden="1" customWidth="1"/>
    <col min="53" max="53" width="60.109375" hidden="1" customWidth="1"/>
    <col min="54" max="54" width="41.33203125" hidden="1" customWidth="1"/>
    <col min="55" max="55" width="12.77734375" hidden="1" customWidth="1"/>
    <col min="56" max="56" width="44.33203125" hidden="1" customWidth="1"/>
    <col min="57" max="57" width="10.88671875" hidden="1" customWidth="1"/>
    <col min="58" max="58" width="10.6640625" hidden="1" customWidth="1"/>
    <col min="59" max="59" width="38.77734375" hidden="1" customWidth="1"/>
    <col min="60" max="60" width="21.109375" customWidth="1"/>
    <col min="61" max="61" width="38.77734375" customWidth="1"/>
    <col min="62" max="62" width="44.33203125" customWidth="1"/>
    <col min="63" max="63" width="8.77734375" customWidth="1"/>
    <col min="64" max="64" width="14.6640625" customWidth="1"/>
    <col min="65" max="65" width="20.6640625" bestFit="1" customWidth="1"/>
    <col min="66" max="66" width="19.88671875" customWidth="1"/>
    <col min="67" max="67" width="13.33203125" customWidth="1"/>
  </cols>
  <sheetData>
    <row r="1" spans="1:1045" ht="18.75" customHeight="1" x14ac:dyDescent="0.25"/>
    <row r="2" spans="1:1045" ht="28.5" customHeight="1" x14ac:dyDescent="0.25">
      <c r="B2" s="237" t="s">
        <v>0</v>
      </c>
      <c r="C2" s="237" t="s">
        <v>1</v>
      </c>
      <c r="D2" s="227" t="s">
        <v>2</v>
      </c>
      <c r="E2" s="227" t="s">
        <v>3</v>
      </c>
      <c r="F2" s="228" t="s">
        <v>4</v>
      </c>
      <c r="G2" s="1" t="s">
        <v>5</v>
      </c>
      <c r="H2" s="227" t="s">
        <v>6</v>
      </c>
      <c r="I2" s="227"/>
      <c r="J2" s="227"/>
      <c r="K2" s="227"/>
      <c r="L2" s="237" t="s">
        <v>7</v>
      </c>
      <c r="M2" s="237"/>
      <c r="N2" s="237"/>
      <c r="O2" s="237"/>
      <c r="P2" s="237" t="s">
        <v>8</v>
      </c>
      <c r="Q2" s="237"/>
      <c r="R2" s="237"/>
      <c r="S2" s="237"/>
      <c r="T2" s="237" t="s">
        <v>9</v>
      </c>
      <c r="U2" s="237"/>
      <c r="V2" s="342"/>
      <c r="W2" s="342"/>
      <c r="X2" s="237" t="s">
        <v>10</v>
      </c>
      <c r="Y2" s="237"/>
      <c r="Z2" s="237"/>
      <c r="AA2" s="237"/>
      <c r="AB2" s="237"/>
      <c r="AC2" s="234" t="s">
        <v>11</v>
      </c>
      <c r="AD2" s="235"/>
      <c r="AE2" s="235"/>
      <c r="AF2" s="236"/>
      <c r="AG2" s="237" t="s">
        <v>12</v>
      </c>
      <c r="AH2" s="237"/>
      <c r="AI2" s="237"/>
      <c r="AJ2" s="237"/>
      <c r="AK2" s="234" t="s">
        <v>13</v>
      </c>
      <c r="AL2" s="235"/>
      <c r="AM2" s="235"/>
      <c r="AN2" s="235"/>
      <c r="AO2" s="236"/>
      <c r="AP2" s="237" t="s">
        <v>14</v>
      </c>
      <c r="AQ2" s="237"/>
      <c r="AR2" s="237"/>
      <c r="AS2" s="237"/>
      <c r="AT2" s="234" t="s">
        <v>15</v>
      </c>
      <c r="AU2" s="235"/>
      <c r="AV2" s="235"/>
      <c r="AW2" s="235"/>
      <c r="AX2" s="236"/>
      <c r="AY2" s="237" t="s">
        <v>16</v>
      </c>
      <c r="AZ2" s="237"/>
      <c r="BA2" s="237"/>
      <c r="BB2" s="237"/>
      <c r="BC2" s="237" t="s">
        <v>17</v>
      </c>
      <c r="BD2" s="237"/>
      <c r="BE2" s="237"/>
      <c r="BF2" s="237"/>
      <c r="BG2" s="234" t="s">
        <v>6</v>
      </c>
      <c r="BH2" s="235"/>
      <c r="BI2" s="235"/>
      <c r="BJ2" s="235"/>
      <c r="BK2" s="236"/>
      <c r="BL2" s="226" t="s">
        <v>18</v>
      </c>
      <c r="BM2" s="226"/>
      <c r="BN2" s="226"/>
      <c r="BO2" s="226"/>
    </row>
    <row r="3" spans="1:1045" ht="30" customHeight="1" x14ac:dyDescent="0.25">
      <c r="B3" s="237"/>
      <c r="C3" s="237"/>
      <c r="D3" s="227"/>
      <c r="E3" s="227"/>
      <c r="F3" s="228"/>
      <c r="G3" s="28"/>
      <c r="H3" s="29" t="s">
        <v>627</v>
      </c>
      <c r="I3" s="29" t="s">
        <v>628</v>
      </c>
      <c r="J3" s="29" t="s">
        <v>629</v>
      </c>
      <c r="K3" s="29" t="s">
        <v>630</v>
      </c>
      <c r="L3" s="23" t="s">
        <v>23</v>
      </c>
      <c r="M3" s="23" t="s">
        <v>24</v>
      </c>
      <c r="N3" s="23" t="s">
        <v>25</v>
      </c>
      <c r="O3" s="23" t="s">
        <v>26</v>
      </c>
      <c r="P3" s="23" t="s">
        <v>27</v>
      </c>
      <c r="Q3" s="23" t="s">
        <v>28</v>
      </c>
      <c r="R3" s="23" t="s">
        <v>29</v>
      </c>
      <c r="S3" s="23" t="s">
        <v>30</v>
      </c>
      <c r="T3" s="23" t="s">
        <v>31</v>
      </c>
      <c r="U3" s="23" t="s">
        <v>32</v>
      </c>
      <c r="V3" s="23" t="s">
        <v>33</v>
      </c>
      <c r="W3" s="23" t="s">
        <v>34</v>
      </c>
      <c r="X3" s="23" t="s">
        <v>35</v>
      </c>
      <c r="Y3" s="23" t="s">
        <v>36</v>
      </c>
      <c r="Z3" s="23" t="s">
        <v>37</v>
      </c>
      <c r="AA3" s="23" t="s">
        <v>38</v>
      </c>
      <c r="AB3" s="23" t="s">
        <v>39</v>
      </c>
      <c r="AC3" s="23" t="s">
        <v>40</v>
      </c>
      <c r="AD3" s="23" t="s">
        <v>41</v>
      </c>
      <c r="AE3" s="23" t="s">
        <v>42</v>
      </c>
      <c r="AF3" s="23" t="s">
        <v>43</v>
      </c>
      <c r="AG3" s="23" t="s">
        <v>44</v>
      </c>
      <c r="AH3" s="23" t="s">
        <v>631</v>
      </c>
      <c r="AI3" s="23" t="s">
        <v>46</v>
      </c>
      <c r="AJ3" s="23" t="s">
        <v>47</v>
      </c>
      <c r="AK3" s="23" t="s">
        <v>48</v>
      </c>
      <c r="AL3" s="23" t="s">
        <v>49</v>
      </c>
      <c r="AM3" s="23" t="s">
        <v>50</v>
      </c>
      <c r="AN3" s="23" t="s">
        <v>51</v>
      </c>
      <c r="AO3" s="23" t="s">
        <v>52</v>
      </c>
      <c r="AP3" s="23" t="s">
        <v>53</v>
      </c>
      <c r="AQ3" s="23" t="s">
        <v>54</v>
      </c>
      <c r="AR3" s="23" t="s">
        <v>55</v>
      </c>
      <c r="AS3" s="23" t="s">
        <v>56</v>
      </c>
      <c r="AT3" s="23" t="s">
        <v>57</v>
      </c>
      <c r="AU3" s="23" t="s">
        <v>58</v>
      </c>
      <c r="AV3" s="23" t="s">
        <v>59</v>
      </c>
      <c r="AW3" s="23" t="s">
        <v>60</v>
      </c>
      <c r="AX3" s="23" t="s">
        <v>61</v>
      </c>
      <c r="AY3" s="23" t="s">
        <v>62</v>
      </c>
      <c r="AZ3" s="23" t="s">
        <v>63</v>
      </c>
      <c r="BA3" s="23" t="s">
        <v>64</v>
      </c>
      <c r="BB3" s="23" t="s">
        <v>65</v>
      </c>
      <c r="BC3" s="23" t="s">
        <v>66</v>
      </c>
      <c r="BD3" s="23" t="s">
        <v>67</v>
      </c>
      <c r="BE3" s="23" t="s">
        <v>68</v>
      </c>
      <c r="BF3" s="23" t="s">
        <v>69</v>
      </c>
      <c r="BG3" s="23" t="s">
        <v>70</v>
      </c>
      <c r="BH3" s="23" t="s">
        <v>71</v>
      </c>
      <c r="BI3" s="23" t="s">
        <v>72</v>
      </c>
      <c r="BJ3" s="23" t="s">
        <v>73</v>
      </c>
      <c r="BK3" s="23" t="s">
        <v>74</v>
      </c>
      <c r="BL3" s="32" t="s">
        <v>75</v>
      </c>
      <c r="BM3" s="1" t="s">
        <v>76</v>
      </c>
      <c r="BN3" s="1" t="s">
        <v>77</v>
      </c>
      <c r="BO3" s="1" t="s">
        <v>78</v>
      </c>
    </row>
    <row r="4" spans="1:1045" ht="91.5" customHeight="1" x14ac:dyDescent="0.25">
      <c r="B4" s="231" t="s">
        <v>632</v>
      </c>
      <c r="C4" s="231" t="s">
        <v>633</v>
      </c>
      <c r="D4" s="232" t="s">
        <v>81</v>
      </c>
      <c r="E4" s="341" t="s">
        <v>238</v>
      </c>
      <c r="F4" s="225" t="s">
        <v>634</v>
      </c>
      <c r="G4" s="27" t="s">
        <v>84</v>
      </c>
      <c r="H4" s="30" t="s">
        <v>635</v>
      </c>
      <c r="I4" s="30" t="s">
        <v>636</v>
      </c>
      <c r="J4" s="30" t="s">
        <v>637</v>
      </c>
      <c r="K4" s="30" t="s">
        <v>638</v>
      </c>
      <c r="L4" s="30" t="s">
        <v>639</v>
      </c>
      <c r="M4" s="30" t="s">
        <v>640</v>
      </c>
      <c r="N4" s="30" t="s">
        <v>641</v>
      </c>
      <c r="O4" s="30" t="s">
        <v>642</v>
      </c>
      <c r="P4" s="30" t="s">
        <v>643</v>
      </c>
      <c r="Q4" s="30" t="s">
        <v>644</v>
      </c>
      <c r="R4" s="30" t="s">
        <v>645</v>
      </c>
      <c r="S4" s="30" t="s">
        <v>646</v>
      </c>
      <c r="T4" s="30" t="s">
        <v>647</v>
      </c>
      <c r="U4" s="30" t="s">
        <v>648</v>
      </c>
      <c r="V4" s="30" t="s">
        <v>649</v>
      </c>
      <c r="W4" s="30" t="s">
        <v>650</v>
      </c>
      <c r="X4" s="30" t="s">
        <v>651</v>
      </c>
      <c r="Y4" s="30" t="s">
        <v>652</v>
      </c>
      <c r="Z4" s="30" t="s">
        <v>653</v>
      </c>
      <c r="AA4" s="30" t="s">
        <v>654</v>
      </c>
      <c r="AB4" s="30" t="s">
        <v>655</v>
      </c>
      <c r="AC4" s="30" t="s">
        <v>656</v>
      </c>
      <c r="AD4" s="30" t="s">
        <v>657</v>
      </c>
      <c r="AE4" s="30" t="s">
        <v>658</v>
      </c>
      <c r="AF4" s="30" t="s">
        <v>659</v>
      </c>
      <c r="AG4" s="30" t="s">
        <v>660</v>
      </c>
      <c r="AH4" s="30" t="s">
        <v>661</v>
      </c>
      <c r="AI4" s="30" t="s">
        <v>662</v>
      </c>
      <c r="AJ4" s="30" t="s">
        <v>663</v>
      </c>
      <c r="AK4" s="30" t="s">
        <v>664</v>
      </c>
      <c r="AL4" s="30" t="s">
        <v>665</v>
      </c>
      <c r="AM4" s="30" t="s">
        <v>666</v>
      </c>
      <c r="AN4" s="30" t="s">
        <v>667</v>
      </c>
      <c r="AO4" s="30" t="s">
        <v>668</v>
      </c>
      <c r="AP4" s="30" t="s">
        <v>669</v>
      </c>
      <c r="AQ4" s="30" t="s">
        <v>670</v>
      </c>
      <c r="AR4" s="30" t="s">
        <v>671</v>
      </c>
      <c r="AS4" s="30" t="s">
        <v>672</v>
      </c>
      <c r="AT4" s="30" t="s">
        <v>673</v>
      </c>
      <c r="AU4" s="30" t="s">
        <v>674</v>
      </c>
      <c r="AV4" s="30" t="s">
        <v>675</v>
      </c>
      <c r="AW4" s="30" t="s">
        <v>676</v>
      </c>
      <c r="AX4" s="30" t="s">
        <v>677</v>
      </c>
      <c r="AY4" s="30" t="s">
        <v>678</v>
      </c>
      <c r="AZ4" s="30" t="s">
        <v>679</v>
      </c>
      <c r="BA4" s="30" t="s">
        <v>680</v>
      </c>
      <c r="BB4" s="30" t="s">
        <v>681</v>
      </c>
      <c r="BC4" s="30" t="s">
        <v>682</v>
      </c>
      <c r="BD4" s="30" t="s">
        <v>683</v>
      </c>
      <c r="BE4" s="30" t="s">
        <v>684</v>
      </c>
      <c r="BF4" s="30" t="s">
        <v>685</v>
      </c>
      <c r="BG4" s="30" t="s">
        <v>686</v>
      </c>
      <c r="BH4" s="30" t="s">
        <v>1866</v>
      </c>
      <c r="BI4" s="30" t="s">
        <v>1909</v>
      </c>
      <c r="BJ4" s="30" t="s">
        <v>2029</v>
      </c>
      <c r="BK4" s="30"/>
      <c r="BL4" s="102" t="s">
        <v>687</v>
      </c>
      <c r="BM4" s="103" t="s">
        <v>688</v>
      </c>
      <c r="BN4" s="103" t="s">
        <v>689</v>
      </c>
      <c r="BO4" s="103" t="s">
        <v>690</v>
      </c>
    </row>
    <row r="5" spans="1:1045" ht="95.25" customHeight="1" x14ac:dyDescent="0.25">
      <c r="B5" s="231"/>
      <c r="C5" s="231"/>
      <c r="D5" s="232"/>
      <c r="E5" s="341"/>
      <c r="F5" s="225"/>
      <c r="G5" s="5" t="s">
        <v>120</v>
      </c>
      <c r="H5" s="31" t="s">
        <v>691</v>
      </c>
      <c r="I5" s="31" t="s">
        <v>692</v>
      </c>
      <c r="J5" s="31" t="s">
        <v>693</v>
      </c>
      <c r="K5" s="31" t="s">
        <v>694</v>
      </c>
      <c r="L5" s="31" t="s">
        <v>695</v>
      </c>
      <c r="M5" s="31" t="s">
        <v>696</v>
      </c>
      <c r="N5" s="31" t="s">
        <v>697</v>
      </c>
      <c r="O5" s="31" t="s">
        <v>698</v>
      </c>
      <c r="P5" s="31" t="s">
        <v>699</v>
      </c>
      <c r="Q5" s="31" t="s">
        <v>700</v>
      </c>
      <c r="R5" s="31" t="s">
        <v>701</v>
      </c>
      <c r="S5" s="31" t="s">
        <v>702</v>
      </c>
      <c r="T5" s="31" t="s">
        <v>703</v>
      </c>
      <c r="U5" s="31" t="s">
        <v>704</v>
      </c>
      <c r="V5" s="31" t="s">
        <v>705</v>
      </c>
      <c r="W5" s="31" t="s">
        <v>706</v>
      </c>
      <c r="X5" s="31" t="s">
        <v>707</v>
      </c>
      <c r="Y5" s="31" t="s">
        <v>708</v>
      </c>
      <c r="Z5" s="31" t="s">
        <v>709</v>
      </c>
      <c r="AA5" s="31" t="s">
        <v>710</v>
      </c>
      <c r="AB5" s="31" t="s">
        <v>711</v>
      </c>
      <c r="AC5" s="31" t="s">
        <v>712</v>
      </c>
      <c r="AD5" s="31" t="s">
        <v>713</v>
      </c>
      <c r="AE5" s="31" t="s">
        <v>714</v>
      </c>
      <c r="AF5" s="31" t="s">
        <v>715</v>
      </c>
      <c r="AG5" s="31" t="s">
        <v>716</v>
      </c>
      <c r="AH5" s="31" t="s">
        <v>717</v>
      </c>
      <c r="AI5" s="31" t="s">
        <v>718</v>
      </c>
      <c r="AJ5" s="31" t="s">
        <v>719</v>
      </c>
      <c r="AK5" s="31" t="s">
        <v>720</v>
      </c>
      <c r="AL5" s="31" t="s">
        <v>721</v>
      </c>
      <c r="AM5" s="31" t="s">
        <v>722</v>
      </c>
      <c r="AN5" s="31" t="s">
        <v>723</v>
      </c>
      <c r="AO5" s="31" t="s">
        <v>724</v>
      </c>
      <c r="AP5" s="31" t="s">
        <v>725</v>
      </c>
      <c r="AQ5" s="31" t="s">
        <v>726</v>
      </c>
      <c r="AR5" s="31" t="s">
        <v>727</v>
      </c>
      <c r="AS5" s="31" t="s">
        <v>728</v>
      </c>
      <c r="AT5" s="31" t="s">
        <v>729</v>
      </c>
      <c r="AU5" s="31" t="s">
        <v>730</v>
      </c>
      <c r="AV5" s="31" t="s">
        <v>731</v>
      </c>
      <c r="AW5" s="31" t="s">
        <v>732</v>
      </c>
      <c r="AX5" s="31" t="s">
        <v>733</v>
      </c>
      <c r="AY5" s="31" t="s">
        <v>734</v>
      </c>
      <c r="AZ5" s="31" t="s">
        <v>735</v>
      </c>
      <c r="BA5" s="31" t="s">
        <v>736</v>
      </c>
      <c r="BB5" s="31" t="s">
        <v>737</v>
      </c>
      <c r="BC5" s="31" t="s">
        <v>738</v>
      </c>
      <c r="BD5" s="31" t="s">
        <v>739</v>
      </c>
      <c r="BE5" s="31" t="s">
        <v>740</v>
      </c>
      <c r="BF5" s="31" t="s">
        <v>741</v>
      </c>
      <c r="BG5" s="31" t="s">
        <v>1867</v>
      </c>
      <c r="BH5" s="31" t="s">
        <v>1910</v>
      </c>
      <c r="BI5" s="31" t="s">
        <v>2030</v>
      </c>
      <c r="BJ5" s="31"/>
      <c r="BK5" s="31"/>
      <c r="BL5" s="100" t="s">
        <v>742</v>
      </c>
      <c r="BM5" s="36"/>
      <c r="BN5" s="36"/>
      <c r="BO5" s="37"/>
    </row>
    <row r="6" spans="1:1045" ht="109.5" customHeight="1" x14ac:dyDescent="0.25">
      <c r="B6" s="231" t="s">
        <v>743</v>
      </c>
      <c r="C6" s="281" t="s">
        <v>744</v>
      </c>
      <c r="D6" s="232" t="s">
        <v>81</v>
      </c>
      <c r="E6" s="281" t="s">
        <v>82</v>
      </c>
      <c r="F6" s="225" t="s">
        <v>745</v>
      </c>
      <c r="G6" s="27" t="s">
        <v>84</v>
      </c>
      <c r="H6" s="30" t="s">
        <v>746</v>
      </c>
      <c r="I6" s="30" t="s">
        <v>747</v>
      </c>
      <c r="J6" s="30" t="s">
        <v>748</v>
      </c>
      <c r="K6" s="30" t="s">
        <v>749</v>
      </c>
      <c r="L6" s="30" t="s">
        <v>750</v>
      </c>
      <c r="M6" s="30" t="s">
        <v>751</v>
      </c>
      <c r="N6" s="30" t="s">
        <v>752</v>
      </c>
      <c r="O6" s="30" t="s">
        <v>753</v>
      </c>
      <c r="P6" s="30"/>
      <c r="Q6" s="30" t="s">
        <v>754</v>
      </c>
      <c r="R6" s="30" t="s">
        <v>755</v>
      </c>
      <c r="S6" s="30" t="s">
        <v>756</v>
      </c>
      <c r="T6" s="30" t="s">
        <v>757</v>
      </c>
      <c r="U6" s="30" t="s">
        <v>758</v>
      </c>
      <c r="V6" s="30" t="s">
        <v>759</v>
      </c>
      <c r="W6" s="30" t="s">
        <v>760</v>
      </c>
      <c r="X6" s="30" t="s">
        <v>760</v>
      </c>
      <c r="Y6" s="30" t="s">
        <v>761</v>
      </c>
      <c r="Z6" s="30" t="s">
        <v>762</v>
      </c>
      <c r="AA6" s="30" t="s">
        <v>763</v>
      </c>
      <c r="AB6" s="30" t="s">
        <v>764</v>
      </c>
      <c r="AC6" s="30" t="s">
        <v>765</v>
      </c>
      <c r="AD6" s="30" t="s">
        <v>766</v>
      </c>
      <c r="AE6" s="30" t="s">
        <v>767</v>
      </c>
      <c r="AF6" s="30" t="s">
        <v>768</v>
      </c>
      <c r="AG6" s="30" t="s">
        <v>768</v>
      </c>
      <c r="AH6" s="30" t="s">
        <v>769</v>
      </c>
      <c r="AI6" s="30" t="s">
        <v>770</v>
      </c>
      <c r="AJ6" s="30" t="s">
        <v>771</v>
      </c>
      <c r="AK6" s="30" t="s">
        <v>772</v>
      </c>
      <c r="AL6" s="30" t="s">
        <v>773</v>
      </c>
      <c r="AM6" s="30" t="s">
        <v>774</v>
      </c>
      <c r="AN6" s="30" t="s">
        <v>775</v>
      </c>
      <c r="AO6" s="30" t="s">
        <v>776</v>
      </c>
      <c r="AP6" s="30" t="s">
        <v>777</v>
      </c>
      <c r="AQ6" s="30" t="s">
        <v>778</v>
      </c>
      <c r="AR6" s="30" t="s">
        <v>779</v>
      </c>
      <c r="AS6" s="30" t="s">
        <v>780</v>
      </c>
      <c r="AT6" s="95" t="s">
        <v>781</v>
      </c>
      <c r="AU6" s="30" t="s">
        <v>782</v>
      </c>
      <c r="AV6" s="30" t="s">
        <v>783</v>
      </c>
      <c r="AW6" s="30" t="s">
        <v>784</v>
      </c>
      <c r="AX6" s="30" t="s">
        <v>785</v>
      </c>
      <c r="AY6" s="30" t="s">
        <v>785</v>
      </c>
      <c r="AZ6" s="30" t="s">
        <v>785</v>
      </c>
      <c r="BA6" s="30" t="s">
        <v>786</v>
      </c>
      <c r="BB6" s="30" t="s">
        <v>787</v>
      </c>
      <c r="BC6" s="30" t="s">
        <v>787</v>
      </c>
      <c r="BD6" s="30" t="s">
        <v>788</v>
      </c>
      <c r="BE6" s="30" t="s">
        <v>789</v>
      </c>
      <c r="BF6" s="30" t="s">
        <v>790</v>
      </c>
      <c r="BG6" s="30" t="s">
        <v>791</v>
      </c>
      <c r="BH6" s="30" t="s">
        <v>1892</v>
      </c>
      <c r="BI6" s="30" t="s">
        <v>1899</v>
      </c>
      <c r="BJ6" s="30" t="s">
        <v>2018</v>
      </c>
      <c r="BK6" s="30"/>
      <c r="BL6" s="102" t="s">
        <v>792</v>
      </c>
      <c r="BM6" s="103" t="s">
        <v>793</v>
      </c>
      <c r="BN6" s="103" t="s">
        <v>794</v>
      </c>
      <c r="BO6" s="103" t="s">
        <v>795</v>
      </c>
    </row>
    <row r="7" spans="1:1045" ht="161.25" customHeight="1" x14ac:dyDescent="0.25">
      <c r="B7" s="231"/>
      <c r="C7" s="281"/>
      <c r="D7" s="232"/>
      <c r="E7" s="281"/>
      <c r="F7" s="225"/>
      <c r="G7" s="5" t="s">
        <v>120</v>
      </c>
      <c r="H7" s="31" t="s">
        <v>796</v>
      </c>
      <c r="I7" s="31" t="s">
        <v>797</v>
      </c>
      <c r="J7" s="31" t="s">
        <v>798</v>
      </c>
      <c r="K7" s="31" t="s">
        <v>799</v>
      </c>
      <c r="L7" s="31" t="s">
        <v>800</v>
      </c>
      <c r="M7" s="31" t="s">
        <v>801</v>
      </c>
      <c r="N7" s="31" t="s">
        <v>802</v>
      </c>
      <c r="O7" s="31" t="s">
        <v>803</v>
      </c>
      <c r="P7" s="31" t="s">
        <v>804</v>
      </c>
      <c r="Q7" s="31" t="s">
        <v>805</v>
      </c>
      <c r="R7" s="31" t="s">
        <v>806</v>
      </c>
      <c r="S7" s="31" t="s">
        <v>807</v>
      </c>
      <c r="T7" s="31" t="s">
        <v>808</v>
      </c>
      <c r="U7" s="31" t="s">
        <v>809</v>
      </c>
      <c r="V7" s="31" t="s">
        <v>810</v>
      </c>
      <c r="W7" s="31" t="s">
        <v>811</v>
      </c>
      <c r="X7" s="31" t="s">
        <v>812</v>
      </c>
      <c r="Y7" s="31" t="s">
        <v>813</v>
      </c>
      <c r="Z7" s="31" t="s">
        <v>814</v>
      </c>
      <c r="AA7" s="31" t="s">
        <v>815</v>
      </c>
      <c r="AB7" s="31" t="s">
        <v>816</v>
      </c>
      <c r="AC7" s="31" t="s">
        <v>817</v>
      </c>
      <c r="AD7" s="31" t="s">
        <v>818</v>
      </c>
      <c r="AE7" s="31" t="s">
        <v>819</v>
      </c>
      <c r="AF7" s="31" t="s">
        <v>820</v>
      </c>
      <c r="AG7" s="31" t="s">
        <v>821</v>
      </c>
      <c r="AH7" s="31" t="s">
        <v>822</v>
      </c>
      <c r="AI7" s="31" t="s">
        <v>823</v>
      </c>
      <c r="AJ7" s="31" t="s">
        <v>824</v>
      </c>
      <c r="AK7" s="31" t="s">
        <v>825</v>
      </c>
      <c r="AL7" s="31" t="s">
        <v>826</v>
      </c>
      <c r="AM7" s="31" t="s">
        <v>827</v>
      </c>
      <c r="AN7" s="31" t="s">
        <v>828</v>
      </c>
      <c r="AO7" s="31" t="s">
        <v>829</v>
      </c>
      <c r="AP7" s="31" t="s">
        <v>830</v>
      </c>
      <c r="AQ7" s="31" t="s">
        <v>831</v>
      </c>
      <c r="AR7" s="31" t="s">
        <v>832</v>
      </c>
      <c r="AS7" s="31" t="s">
        <v>833</v>
      </c>
      <c r="AT7" s="31" t="s">
        <v>834</v>
      </c>
      <c r="AU7" s="31" t="s">
        <v>835</v>
      </c>
      <c r="AV7" s="31" t="s">
        <v>836</v>
      </c>
      <c r="AW7" s="31" t="s">
        <v>837</v>
      </c>
      <c r="AX7" s="31"/>
      <c r="AY7" s="31" t="s">
        <v>838</v>
      </c>
      <c r="AZ7" s="31" t="s">
        <v>839</v>
      </c>
      <c r="BA7" s="31" t="s">
        <v>840</v>
      </c>
      <c r="BB7" s="31" t="s">
        <v>841</v>
      </c>
      <c r="BC7" s="31" t="s">
        <v>842</v>
      </c>
      <c r="BD7" s="31" t="s">
        <v>843</v>
      </c>
      <c r="BE7" s="31" t="s">
        <v>844</v>
      </c>
      <c r="BF7" s="31" t="s">
        <v>845</v>
      </c>
      <c r="BG7" s="31" t="s">
        <v>1851</v>
      </c>
      <c r="BH7" s="31" t="s">
        <v>1900</v>
      </c>
      <c r="BI7" s="31" t="s">
        <v>2019</v>
      </c>
      <c r="BJ7" s="31"/>
      <c r="BK7" s="31"/>
      <c r="BL7" s="100" t="s">
        <v>846</v>
      </c>
      <c r="BM7" s="104" t="s">
        <v>847</v>
      </c>
      <c r="BN7" s="104" t="s">
        <v>848</v>
      </c>
      <c r="BO7" s="146" t="s">
        <v>849</v>
      </c>
    </row>
    <row r="8" spans="1:1045" ht="84" customHeight="1" x14ac:dyDescent="0.25">
      <c r="B8" s="304" t="s">
        <v>850</v>
      </c>
      <c r="C8" s="281" t="s">
        <v>851</v>
      </c>
      <c r="D8" s="232" t="s">
        <v>81</v>
      </c>
      <c r="E8" s="232" t="s">
        <v>81</v>
      </c>
      <c r="F8" s="340" t="s">
        <v>852</v>
      </c>
      <c r="G8" s="27" t="s">
        <v>84</v>
      </c>
      <c r="H8" s="247" t="s">
        <v>853</v>
      </c>
      <c r="I8" s="247"/>
      <c r="J8" s="247"/>
      <c r="K8" s="247"/>
      <c r="L8" s="41" t="s">
        <v>854</v>
      </c>
      <c r="M8" s="41" t="s">
        <v>855</v>
      </c>
      <c r="N8" s="41" t="s">
        <v>856</v>
      </c>
      <c r="O8" s="41" t="s">
        <v>857</v>
      </c>
      <c r="P8" s="55" t="s">
        <v>857</v>
      </c>
      <c r="Q8" s="55" t="s">
        <v>858</v>
      </c>
      <c r="R8" s="41" t="s">
        <v>859</v>
      </c>
      <c r="S8" s="41" t="s">
        <v>860</v>
      </c>
      <c r="T8" s="41" t="s">
        <v>861</v>
      </c>
      <c r="U8" s="41" t="s">
        <v>862</v>
      </c>
      <c r="V8" s="95" t="s">
        <v>863</v>
      </c>
      <c r="W8" s="95" t="s">
        <v>864</v>
      </c>
      <c r="X8" s="41" t="s">
        <v>865</v>
      </c>
      <c r="Y8" s="41" t="s">
        <v>866</v>
      </c>
      <c r="Z8" s="41" t="s">
        <v>867</v>
      </c>
      <c r="AA8" s="41" t="s">
        <v>868</v>
      </c>
      <c r="AB8" s="41" t="s">
        <v>869</v>
      </c>
      <c r="AC8" s="41" t="s">
        <v>870</v>
      </c>
      <c r="AD8" s="41" t="s">
        <v>871</v>
      </c>
      <c r="AE8" s="41" t="s">
        <v>872</v>
      </c>
      <c r="AF8" s="41" t="s">
        <v>873</v>
      </c>
      <c r="AG8" s="41" t="s">
        <v>874</v>
      </c>
      <c r="AH8" s="41" t="s">
        <v>875</v>
      </c>
      <c r="AI8" s="41" t="s">
        <v>876</v>
      </c>
      <c r="AJ8" s="41" t="s">
        <v>877</v>
      </c>
      <c r="AK8" s="41" t="s">
        <v>878</v>
      </c>
      <c r="AL8" s="41" t="s">
        <v>879</v>
      </c>
      <c r="AM8" s="41" t="s">
        <v>880</v>
      </c>
      <c r="AN8" s="41" t="s">
        <v>881</v>
      </c>
      <c r="AO8" s="41" t="s">
        <v>882</v>
      </c>
      <c r="AP8" s="41" t="s">
        <v>883</v>
      </c>
      <c r="AQ8" s="30" t="s">
        <v>884</v>
      </c>
      <c r="AR8" s="30" t="s">
        <v>885</v>
      </c>
      <c r="AS8" s="41" t="s">
        <v>886</v>
      </c>
      <c r="AT8" s="41" t="s">
        <v>887</v>
      </c>
      <c r="AU8" s="30" t="s">
        <v>888</v>
      </c>
      <c r="AV8" s="30" t="s">
        <v>889</v>
      </c>
      <c r="AW8" s="41" t="s">
        <v>890</v>
      </c>
      <c r="AX8" s="41" t="s">
        <v>891</v>
      </c>
      <c r="AY8" s="41" t="s">
        <v>892</v>
      </c>
      <c r="AZ8" s="41" t="s">
        <v>893</v>
      </c>
      <c r="BA8" s="41" t="s">
        <v>894</v>
      </c>
      <c r="BB8" s="41" t="s">
        <v>895</v>
      </c>
      <c r="BC8" s="41" t="s">
        <v>896</v>
      </c>
      <c r="BD8" s="41" t="s">
        <v>897</v>
      </c>
      <c r="BE8" s="41" t="s">
        <v>898</v>
      </c>
      <c r="BF8" s="41"/>
      <c r="BG8" s="41"/>
      <c r="BH8" s="41"/>
      <c r="BI8" s="41"/>
      <c r="BJ8" s="41"/>
      <c r="BK8" s="41"/>
      <c r="BL8" s="105">
        <v>45689</v>
      </c>
      <c r="BM8" s="101" t="s">
        <v>899</v>
      </c>
      <c r="BN8" s="101" t="s">
        <v>900</v>
      </c>
      <c r="BO8" s="101" t="s">
        <v>901</v>
      </c>
      <c r="BP8" s="54"/>
    </row>
    <row r="9" spans="1:1045" ht="75" customHeight="1" x14ac:dyDescent="0.25">
      <c r="B9" s="304"/>
      <c r="C9" s="281"/>
      <c r="D9" s="232"/>
      <c r="E9" s="232"/>
      <c r="F9" s="340"/>
      <c r="G9" s="5" t="s">
        <v>120</v>
      </c>
      <c r="H9" s="336" t="s">
        <v>902</v>
      </c>
      <c r="I9" s="336"/>
      <c r="J9" s="336"/>
      <c r="K9" s="336"/>
      <c r="L9" s="58" t="s">
        <v>903</v>
      </c>
      <c r="M9" s="58" t="s">
        <v>904</v>
      </c>
      <c r="N9" s="31" t="s">
        <v>905</v>
      </c>
      <c r="O9" s="31" t="s">
        <v>906</v>
      </c>
      <c r="P9" s="31" t="s">
        <v>907</v>
      </c>
      <c r="Q9" s="58" t="s">
        <v>908</v>
      </c>
      <c r="R9" s="87" t="s">
        <v>909</v>
      </c>
      <c r="S9" s="87" t="s">
        <v>910</v>
      </c>
      <c r="T9" s="87" t="s">
        <v>911</v>
      </c>
      <c r="U9" s="87" t="s">
        <v>912</v>
      </c>
      <c r="V9" s="96" t="s">
        <v>913</v>
      </c>
      <c r="W9" s="96" t="s">
        <v>914</v>
      </c>
      <c r="X9" s="87" t="s">
        <v>915</v>
      </c>
      <c r="Y9" s="99" t="s">
        <v>916</v>
      </c>
      <c r="Z9" s="99" t="s">
        <v>917</v>
      </c>
      <c r="AA9" s="58" t="s">
        <v>918</v>
      </c>
      <c r="AB9" s="58" t="s">
        <v>919</v>
      </c>
      <c r="AC9" s="87" t="s">
        <v>920</v>
      </c>
      <c r="AD9" s="87" t="s">
        <v>921</v>
      </c>
      <c r="AE9" s="87" t="s">
        <v>922</v>
      </c>
      <c r="AF9" s="87" t="s">
        <v>923</v>
      </c>
      <c r="AG9" s="87" t="s">
        <v>924</v>
      </c>
      <c r="AH9" s="87" t="s">
        <v>925</v>
      </c>
      <c r="AI9" s="99" t="s">
        <v>926</v>
      </c>
      <c r="AJ9" s="87" t="s">
        <v>927</v>
      </c>
      <c r="AK9" s="87" t="s">
        <v>928</v>
      </c>
      <c r="AL9" s="87" t="s">
        <v>929</v>
      </c>
      <c r="AM9" s="87" t="s">
        <v>930</v>
      </c>
      <c r="AN9" s="87" t="s">
        <v>931</v>
      </c>
      <c r="AO9" s="87" t="s">
        <v>932</v>
      </c>
      <c r="AP9" s="87" t="s">
        <v>933</v>
      </c>
      <c r="AQ9" s="31" t="s">
        <v>934</v>
      </c>
      <c r="AR9" s="99" t="s">
        <v>935</v>
      </c>
      <c r="AS9" s="87" t="s">
        <v>936</v>
      </c>
      <c r="AT9" s="31" t="s">
        <v>937</v>
      </c>
      <c r="AU9" s="31" t="s">
        <v>938</v>
      </c>
      <c r="AV9" s="31" t="s">
        <v>939</v>
      </c>
      <c r="AW9" s="168" t="s">
        <v>940</v>
      </c>
      <c r="AX9" s="168" t="s">
        <v>941</v>
      </c>
      <c r="AY9" s="99" t="s">
        <v>942</v>
      </c>
      <c r="AZ9" s="87" t="s">
        <v>943</v>
      </c>
      <c r="BA9" s="42" t="s">
        <v>944</v>
      </c>
      <c r="BB9" s="87" t="s">
        <v>945</v>
      </c>
      <c r="BC9" s="96" t="s">
        <v>946</v>
      </c>
      <c r="BD9" s="96" t="s">
        <v>947</v>
      </c>
      <c r="BE9" s="99"/>
      <c r="BF9" s="87"/>
      <c r="BG9" s="87"/>
      <c r="BH9" s="87"/>
      <c r="BI9" s="87"/>
      <c r="BJ9" s="87"/>
      <c r="BK9" s="87"/>
      <c r="BL9" s="104" t="s">
        <v>948</v>
      </c>
      <c r="BM9" s="158" t="s">
        <v>949</v>
      </c>
      <c r="BN9" s="104" t="s">
        <v>950</v>
      </c>
      <c r="BO9" s="37"/>
    </row>
    <row r="10" spans="1:1045" ht="195.75" customHeight="1" x14ac:dyDescent="0.25">
      <c r="B10" s="281" t="s">
        <v>951</v>
      </c>
      <c r="C10" s="281" t="s">
        <v>952</v>
      </c>
      <c r="D10" s="232"/>
      <c r="E10" s="232"/>
      <c r="F10" s="225" t="s">
        <v>1893</v>
      </c>
      <c r="G10" s="27" t="s">
        <v>84</v>
      </c>
      <c r="H10" s="247"/>
      <c r="I10" s="247"/>
      <c r="J10" s="247"/>
      <c r="K10" s="247"/>
      <c r="L10" s="247"/>
      <c r="M10" s="247"/>
      <c r="N10" s="247"/>
      <c r="O10" s="247"/>
      <c r="P10" s="41"/>
      <c r="Q10" s="41"/>
      <c r="R10" s="41"/>
      <c r="S10" s="41"/>
      <c r="T10" s="41" t="s">
        <v>953</v>
      </c>
      <c r="U10" s="41" t="s">
        <v>954</v>
      </c>
      <c r="V10" s="95" t="s">
        <v>955</v>
      </c>
      <c r="W10" s="95" t="s">
        <v>956</v>
      </c>
      <c r="X10" s="41" t="s">
        <v>956</v>
      </c>
      <c r="Y10" s="41" t="s">
        <v>957</v>
      </c>
      <c r="Z10" s="41" t="s">
        <v>958</v>
      </c>
      <c r="AA10" s="41" t="s">
        <v>959</v>
      </c>
      <c r="AB10" s="41" t="s">
        <v>960</v>
      </c>
      <c r="AC10" s="41" t="s">
        <v>961</v>
      </c>
      <c r="AD10" s="41" t="s">
        <v>962</v>
      </c>
      <c r="AE10" s="41" t="s">
        <v>963</v>
      </c>
      <c r="AF10" s="41" t="s">
        <v>964</v>
      </c>
      <c r="AG10" s="41" t="s">
        <v>965</v>
      </c>
      <c r="AH10" s="41" t="s">
        <v>966</v>
      </c>
      <c r="AI10" s="41" t="s">
        <v>967</v>
      </c>
      <c r="AJ10" s="41" t="s">
        <v>968</v>
      </c>
      <c r="AK10" s="41" t="s">
        <v>969</v>
      </c>
      <c r="AL10" s="41" t="s">
        <v>970</v>
      </c>
      <c r="AM10" s="41" t="s">
        <v>971</v>
      </c>
      <c r="AN10" s="41" t="s">
        <v>972</v>
      </c>
      <c r="AO10" s="41" t="s">
        <v>973</v>
      </c>
      <c r="AP10" s="41" t="s">
        <v>974</v>
      </c>
      <c r="AQ10" s="30" t="s">
        <v>975</v>
      </c>
      <c r="AR10" s="30" t="s">
        <v>976</v>
      </c>
      <c r="AS10" s="41" t="s">
        <v>977</v>
      </c>
      <c r="AT10" s="41" t="s">
        <v>978</v>
      </c>
      <c r="AU10" s="30" t="s">
        <v>979</v>
      </c>
      <c r="AV10" s="95" t="s">
        <v>980</v>
      </c>
      <c r="AW10" s="41" t="s">
        <v>981</v>
      </c>
      <c r="AX10" s="41" t="s">
        <v>982</v>
      </c>
      <c r="AY10" s="41" t="s">
        <v>983</v>
      </c>
      <c r="AZ10" s="41" t="s">
        <v>984</v>
      </c>
      <c r="BA10" s="41" t="s">
        <v>985</v>
      </c>
      <c r="BB10" s="41" t="s">
        <v>986</v>
      </c>
      <c r="BC10" s="41" t="s">
        <v>987</v>
      </c>
      <c r="BD10" s="41" t="s">
        <v>988</v>
      </c>
      <c r="BE10" s="41" t="s">
        <v>989</v>
      </c>
      <c r="BF10" s="95" t="s">
        <v>990</v>
      </c>
      <c r="BG10" s="95" t="s">
        <v>991</v>
      </c>
      <c r="BH10" s="95" t="s">
        <v>1873</v>
      </c>
      <c r="BI10" s="41" t="s">
        <v>1928</v>
      </c>
      <c r="BJ10" s="41" t="s">
        <v>2050</v>
      </c>
      <c r="BK10" s="41"/>
      <c r="BL10" s="33">
        <v>45774</v>
      </c>
      <c r="BM10" s="34">
        <v>45838</v>
      </c>
      <c r="BN10" s="34">
        <v>46022</v>
      </c>
      <c r="BO10" s="34"/>
      <c r="BP10" s="54"/>
    </row>
    <row r="11" spans="1:1045" ht="240" customHeight="1" x14ac:dyDescent="0.25">
      <c r="B11" s="281"/>
      <c r="C11" s="281"/>
      <c r="D11" s="232"/>
      <c r="E11" s="232"/>
      <c r="F11" s="225"/>
      <c r="G11" s="5" t="s">
        <v>120</v>
      </c>
      <c r="H11" s="336"/>
      <c r="I11" s="336"/>
      <c r="J11" s="336"/>
      <c r="K11" s="336"/>
      <c r="L11" s="244"/>
      <c r="M11" s="244"/>
      <c r="N11" s="244"/>
      <c r="O11" s="244"/>
      <c r="P11" s="48"/>
      <c r="Q11" s="48"/>
      <c r="R11" s="48"/>
      <c r="S11" s="58" t="s">
        <v>992</v>
      </c>
      <c r="T11" s="45" t="s">
        <v>993</v>
      </c>
      <c r="U11" s="58" t="s">
        <v>994</v>
      </c>
      <c r="V11" s="89" t="s">
        <v>995</v>
      </c>
      <c r="W11" s="89" t="s">
        <v>996</v>
      </c>
      <c r="X11" s="45" t="s">
        <v>997</v>
      </c>
      <c r="Y11" s="45" t="s">
        <v>998</v>
      </c>
      <c r="Z11" s="45" t="s">
        <v>999</v>
      </c>
      <c r="AA11" s="121" t="s">
        <v>1000</v>
      </c>
      <c r="AB11" s="121" t="s">
        <v>960</v>
      </c>
      <c r="AC11" s="121" t="s">
        <v>1001</v>
      </c>
      <c r="AD11" s="121" t="s">
        <v>1002</v>
      </c>
      <c r="AE11" s="121" t="s">
        <v>1003</v>
      </c>
      <c r="AF11" s="121" t="s">
        <v>1004</v>
      </c>
      <c r="AG11" s="45" t="s">
        <v>1005</v>
      </c>
      <c r="AH11" s="58" t="s">
        <v>1006</v>
      </c>
      <c r="AI11" s="58" t="s">
        <v>1007</v>
      </c>
      <c r="AJ11" s="45" t="s">
        <v>1008</v>
      </c>
      <c r="AK11" s="45" t="s">
        <v>1009</v>
      </c>
      <c r="AL11" s="45" t="s">
        <v>1010</v>
      </c>
      <c r="AM11" s="45" t="s">
        <v>1011</v>
      </c>
      <c r="AN11" s="45" t="s">
        <v>1012</v>
      </c>
      <c r="AO11" s="45" t="s">
        <v>1013</v>
      </c>
      <c r="AP11" s="45" t="s">
        <v>1014</v>
      </c>
      <c r="AQ11" s="31" t="s">
        <v>1015</v>
      </c>
      <c r="AR11" s="31" t="s">
        <v>1016</v>
      </c>
      <c r="AS11" s="45" t="s">
        <v>1017</v>
      </c>
      <c r="AT11" s="45" t="s">
        <v>1018</v>
      </c>
      <c r="AU11" s="31" t="s">
        <v>1019</v>
      </c>
      <c r="AV11" s="31" t="s">
        <v>1020</v>
      </c>
      <c r="AW11" s="45" t="s">
        <v>1021</v>
      </c>
      <c r="AX11" s="45" t="s">
        <v>1022</v>
      </c>
      <c r="AY11" s="45" t="s">
        <v>1023</v>
      </c>
      <c r="AZ11" s="121" t="s">
        <v>1024</v>
      </c>
      <c r="BA11" s="121" t="s">
        <v>1025</v>
      </c>
      <c r="BB11" s="121" t="s">
        <v>1026</v>
      </c>
      <c r="BC11" s="45" t="s">
        <v>1027</v>
      </c>
      <c r="BD11" s="89" t="s">
        <v>1028</v>
      </c>
      <c r="BE11" s="89" t="s">
        <v>1029</v>
      </c>
      <c r="BF11" s="89" t="s">
        <v>1030</v>
      </c>
      <c r="BG11" s="45" t="s">
        <v>1894</v>
      </c>
      <c r="BH11" s="45" t="s">
        <v>1929</v>
      </c>
      <c r="BI11" s="45" t="s">
        <v>2135</v>
      </c>
      <c r="BJ11" s="45"/>
      <c r="BK11" s="45"/>
      <c r="BL11" s="35"/>
      <c r="BM11" s="37"/>
      <c r="BN11" s="36"/>
      <c r="BO11" s="37"/>
    </row>
    <row r="12" spans="1:1045" ht="39.75" hidden="1" customHeight="1" x14ac:dyDescent="0.25">
      <c r="B12" s="281" t="s">
        <v>1031</v>
      </c>
      <c r="C12" s="281"/>
      <c r="D12" s="232"/>
      <c r="E12" s="232"/>
      <c r="F12" s="225"/>
      <c r="G12" s="27" t="s">
        <v>84</v>
      </c>
      <c r="H12" s="247"/>
      <c r="I12" s="247"/>
      <c r="J12" s="247"/>
      <c r="K12" s="247"/>
      <c r="L12" s="247"/>
      <c r="M12" s="247"/>
      <c r="N12" s="247"/>
      <c r="O12" s="247"/>
      <c r="P12" s="247"/>
      <c r="Q12" s="247"/>
      <c r="R12" s="247"/>
      <c r="S12" s="247"/>
      <c r="T12" s="247"/>
      <c r="U12" s="247"/>
      <c r="V12" s="339"/>
      <c r="W12" s="339"/>
      <c r="X12" s="247"/>
      <c r="Y12" s="247"/>
      <c r="Z12" s="247"/>
      <c r="AA12" s="247"/>
      <c r="AB12" s="247"/>
      <c r="AC12" s="247"/>
      <c r="AD12" s="247"/>
      <c r="AE12" s="247"/>
      <c r="AF12" s="247"/>
      <c r="AG12" s="247"/>
      <c r="AH12" s="247"/>
      <c r="AI12" s="247"/>
      <c r="AJ12" s="247"/>
      <c r="AK12" s="266"/>
      <c r="AL12" s="267"/>
      <c r="AM12" s="267"/>
      <c r="AN12" s="267"/>
      <c r="AO12" s="268"/>
      <c r="AP12" s="247"/>
      <c r="AQ12" s="247"/>
      <c r="AR12" s="247"/>
      <c r="AS12" s="247"/>
      <c r="AT12" s="247"/>
      <c r="AU12" s="247"/>
      <c r="AV12" s="247"/>
      <c r="AW12" s="247"/>
      <c r="AX12" s="41"/>
      <c r="AY12" s="247"/>
      <c r="AZ12" s="247"/>
      <c r="BA12" s="247"/>
      <c r="BB12" s="247"/>
      <c r="BC12" s="247"/>
      <c r="BD12" s="247"/>
      <c r="BE12" s="247"/>
      <c r="BF12" s="247"/>
      <c r="BG12" s="266"/>
      <c r="BH12" s="267"/>
      <c r="BI12" s="267"/>
      <c r="BJ12" s="267"/>
      <c r="BK12" s="268"/>
      <c r="BL12" s="33"/>
      <c r="BM12" s="34"/>
      <c r="BN12" s="34"/>
      <c r="BO12" s="34"/>
      <c r="BP12" s="54"/>
    </row>
    <row r="13" spans="1:1045" ht="33" hidden="1" customHeight="1" x14ac:dyDescent="0.25">
      <c r="B13" s="281"/>
      <c r="C13" s="281"/>
      <c r="D13" s="232"/>
      <c r="E13" s="232"/>
      <c r="F13" s="225"/>
      <c r="G13" s="5" t="s">
        <v>120</v>
      </c>
      <c r="H13" s="336"/>
      <c r="I13" s="336"/>
      <c r="J13" s="336"/>
      <c r="K13" s="336"/>
      <c r="L13" s="244"/>
      <c r="M13" s="244"/>
      <c r="N13" s="244"/>
      <c r="O13" s="244"/>
      <c r="P13" s="244"/>
      <c r="Q13" s="244"/>
      <c r="R13" s="244"/>
      <c r="S13" s="244"/>
      <c r="T13" s="244"/>
      <c r="U13" s="244"/>
      <c r="V13" s="337"/>
      <c r="W13" s="338"/>
      <c r="X13" s="244"/>
      <c r="Y13" s="244"/>
      <c r="Z13" s="244"/>
      <c r="AA13" s="244"/>
      <c r="AB13" s="244"/>
      <c r="AC13" s="244"/>
      <c r="AD13" s="244"/>
      <c r="AE13" s="244"/>
      <c r="AF13" s="244"/>
      <c r="AG13" s="244"/>
      <c r="AH13" s="244"/>
      <c r="AI13" s="244"/>
      <c r="AJ13" s="244"/>
      <c r="AK13" s="261"/>
      <c r="AL13" s="262"/>
      <c r="AM13" s="262"/>
      <c r="AN13" s="262"/>
      <c r="AO13" s="263"/>
      <c r="AP13" s="244"/>
      <c r="AQ13" s="244"/>
      <c r="AR13" s="244"/>
      <c r="AS13" s="244"/>
      <c r="AT13" s="244"/>
      <c r="AU13" s="244"/>
      <c r="AV13" s="244"/>
      <c r="AW13" s="244"/>
      <c r="AX13" s="48"/>
      <c r="AY13" s="244"/>
      <c r="AZ13" s="244"/>
      <c r="BA13" s="244"/>
      <c r="BB13" s="244"/>
      <c r="BC13" s="244"/>
      <c r="BD13" s="244"/>
      <c r="BE13" s="244"/>
      <c r="BF13" s="244"/>
      <c r="BG13" s="333"/>
      <c r="BH13" s="334"/>
      <c r="BI13" s="334"/>
      <c r="BJ13" s="334"/>
      <c r="BK13" s="335"/>
      <c r="BL13" s="35"/>
      <c r="BM13" s="37"/>
      <c r="BN13" s="36"/>
      <c r="BO13" s="37"/>
    </row>
    <row r="14" spans="1:1045" ht="25.5" customHeight="1" x14ac:dyDescent="0.25"/>
    <row r="15" spans="1:1045" ht="24" customHeight="1" x14ac:dyDescent="0.25">
      <c r="Z15">
        <f>88*3</f>
        <v>264</v>
      </c>
    </row>
    <row r="16" spans="1:1045" ht="146.25" hidden="1" customHeight="1" x14ac:dyDescent="0.25">
      <c r="A16" s="71"/>
      <c r="B16" s="240" t="s">
        <v>1032</v>
      </c>
      <c r="C16" s="240" t="s">
        <v>1033</v>
      </c>
      <c r="D16" s="242" t="s">
        <v>1034</v>
      </c>
      <c r="E16" s="242" t="s">
        <v>1034</v>
      </c>
      <c r="F16" s="243"/>
      <c r="G16" s="72" t="s">
        <v>84</v>
      </c>
      <c r="H16" s="246" t="s">
        <v>1035</v>
      </c>
      <c r="I16" s="246"/>
      <c r="J16" s="246"/>
      <c r="K16" s="246"/>
      <c r="L16" s="246" t="s">
        <v>1036</v>
      </c>
      <c r="M16" s="246"/>
      <c r="N16" s="246"/>
      <c r="O16" s="246"/>
      <c r="P16" s="328" t="s">
        <v>1037</v>
      </c>
      <c r="Q16" s="328"/>
      <c r="R16" s="328"/>
      <c r="S16" s="328"/>
      <c r="T16" s="241"/>
      <c r="U16" s="241"/>
      <c r="V16" s="329"/>
      <c r="W16" s="329"/>
      <c r="X16" s="241"/>
      <c r="Y16" s="241"/>
      <c r="Z16" s="241"/>
      <c r="AA16" s="241"/>
      <c r="AB16" s="241"/>
      <c r="AC16" s="241"/>
      <c r="AD16" s="241"/>
      <c r="AE16" s="241"/>
      <c r="AF16" s="241"/>
      <c r="AG16" s="241"/>
      <c r="AH16" s="241"/>
      <c r="AI16" s="241"/>
      <c r="AJ16" s="241"/>
      <c r="AK16" s="90"/>
      <c r="AL16" s="90"/>
      <c r="AM16" s="90"/>
      <c r="AN16" s="90"/>
      <c r="AO16" s="90"/>
      <c r="AP16" s="241"/>
      <c r="AQ16" s="241"/>
      <c r="AR16" s="241"/>
      <c r="AS16" s="241"/>
      <c r="AT16" s="241"/>
      <c r="AU16" s="241"/>
      <c r="AV16" s="241"/>
      <c r="AW16" s="241"/>
      <c r="AX16" s="90"/>
      <c r="AY16" s="241"/>
      <c r="AZ16" s="241"/>
      <c r="BA16" s="241"/>
      <c r="BB16" s="241"/>
      <c r="BC16" s="241"/>
      <c r="BD16" s="241"/>
      <c r="BE16" s="241"/>
      <c r="BF16" s="241"/>
      <c r="BG16" s="90"/>
      <c r="BH16" s="90"/>
      <c r="BI16" s="90"/>
      <c r="BJ16" s="90"/>
      <c r="BK16" s="90"/>
      <c r="BL16" s="73">
        <v>45369</v>
      </c>
      <c r="BM16" s="74">
        <v>45385</v>
      </c>
      <c r="BN16" s="74">
        <v>45658</v>
      </c>
      <c r="BO16" s="74">
        <v>45658</v>
      </c>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71"/>
      <c r="LQ16" s="71"/>
      <c r="LR16" s="71"/>
      <c r="LS16" s="71"/>
      <c r="LT16" s="71"/>
      <c r="LU16" s="71"/>
      <c r="LV16" s="71"/>
      <c r="LW16" s="71"/>
      <c r="LX16" s="71"/>
      <c r="LY16" s="71"/>
      <c r="LZ16" s="71"/>
      <c r="MA16" s="71"/>
      <c r="MB16" s="71"/>
      <c r="MC16" s="71"/>
      <c r="MD16" s="71"/>
      <c r="ME16" s="71"/>
      <c r="MF16" s="71"/>
      <c r="MG16" s="71"/>
      <c r="MH16" s="71"/>
      <c r="MI16" s="71"/>
      <c r="MJ16" s="71"/>
      <c r="MK16" s="71"/>
      <c r="ML16" s="71"/>
      <c r="MM16" s="71"/>
      <c r="MN16" s="71"/>
      <c r="MO16" s="71"/>
      <c r="MP16" s="71"/>
      <c r="MQ16" s="71"/>
      <c r="MR16" s="71"/>
      <c r="MS16" s="71"/>
      <c r="MT16" s="71"/>
      <c r="MU16" s="71"/>
      <c r="MV16" s="71"/>
      <c r="MW16" s="71"/>
      <c r="MX16" s="71"/>
      <c r="MY16" s="71"/>
      <c r="MZ16" s="71"/>
      <c r="NA16" s="71"/>
      <c r="NB16" s="71"/>
      <c r="NC16" s="71"/>
      <c r="ND16" s="71"/>
      <c r="NE16" s="71"/>
      <c r="NF16" s="71"/>
      <c r="NG16" s="71"/>
      <c r="NH16" s="71"/>
      <c r="NI16" s="71"/>
      <c r="NJ16" s="71"/>
      <c r="NK16" s="71"/>
      <c r="NL16" s="71"/>
      <c r="NM16" s="71"/>
      <c r="NN16" s="71"/>
      <c r="NO16" s="71"/>
      <c r="NP16" s="71"/>
      <c r="NQ16" s="71"/>
      <c r="NR16" s="71"/>
      <c r="NS16" s="71"/>
      <c r="NT16" s="71"/>
      <c r="NU16" s="71"/>
      <c r="NV16" s="71"/>
      <c r="NW16" s="71"/>
      <c r="NX16" s="71"/>
      <c r="NY16" s="71"/>
      <c r="NZ16" s="71"/>
      <c r="OA16" s="71"/>
      <c r="OB16" s="71"/>
      <c r="OC16" s="71"/>
      <c r="OD16" s="71"/>
      <c r="OE16" s="71"/>
      <c r="OF16" s="71"/>
      <c r="OG16" s="71"/>
      <c r="OH16" s="71"/>
      <c r="OI16" s="71"/>
      <c r="OJ16" s="71"/>
      <c r="OK16" s="71"/>
      <c r="OL16" s="71"/>
      <c r="OM16" s="71"/>
      <c r="ON16" s="71"/>
      <c r="OO16" s="71"/>
      <c r="OP16" s="71"/>
      <c r="OQ16" s="71"/>
      <c r="OR16" s="71"/>
      <c r="OS16" s="71"/>
      <c r="OT16" s="71"/>
      <c r="OU16" s="71"/>
      <c r="OV16" s="71"/>
      <c r="OW16" s="71"/>
      <c r="OX16" s="71"/>
      <c r="OY16" s="71"/>
      <c r="OZ16" s="71"/>
      <c r="PA16" s="71"/>
      <c r="PB16" s="71"/>
      <c r="PC16" s="71"/>
      <c r="PD16" s="71"/>
      <c r="PE16" s="71"/>
      <c r="PF16" s="71"/>
      <c r="PG16" s="71"/>
      <c r="PH16" s="71"/>
      <c r="PI16" s="71"/>
      <c r="PJ16" s="71"/>
      <c r="PK16" s="71"/>
      <c r="PL16" s="71"/>
      <c r="PM16" s="71"/>
      <c r="PN16" s="71"/>
      <c r="PO16" s="71"/>
      <c r="PP16" s="71"/>
      <c r="PQ16" s="71"/>
      <c r="PR16" s="71"/>
      <c r="PS16" s="71"/>
      <c r="PT16" s="71"/>
      <c r="PU16" s="71"/>
      <c r="PV16" s="71"/>
      <c r="PW16" s="71"/>
      <c r="PX16" s="71"/>
      <c r="PY16" s="71"/>
      <c r="PZ16" s="71"/>
      <c r="QA16" s="71"/>
      <c r="QB16" s="71"/>
      <c r="QC16" s="71"/>
      <c r="QD16" s="71"/>
      <c r="QE16" s="71"/>
      <c r="QF16" s="71"/>
      <c r="QG16" s="71"/>
      <c r="QH16" s="71"/>
      <c r="QI16" s="71"/>
      <c r="QJ16" s="71"/>
      <c r="QK16" s="71"/>
      <c r="QL16" s="71"/>
      <c r="QM16" s="71"/>
      <c r="QN16" s="71"/>
      <c r="QO16" s="71"/>
      <c r="QP16" s="71"/>
      <c r="QQ16" s="71"/>
      <c r="QR16" s="71"/>
      <c r="QS16" s="71"/>
      <c r="QT16" s="71"/>
      <c r="QU16" s="71"/>
      <c r="QV16" s="71"/>
      <c r="QW16" s="71"/>
      <c r="QX16" s="71"/>
      <c r="QY16" s="71"/>
      <c r="QZ16" s="71"/>
      <c r="RA16" s="71"/>
      <c r="RB16" s="71"/>
      <c r="RC16" s="71"/>
      <c r="RD16" s="71"/>
      <c r="RE16" s="71"/>
      <c r="RF16" s="71"/>
      <c r="RG16" s="71"/>
      <c r="RH16" s="71"/>
      <c r="RI16" s="71"/>
      <c r="RJ16" s="71"/>
      <c r="RK16" s="71"/>
      <c r="RL16" s="71"/>
      <c r="RM16" s="71"/>
      <c r="RN16" s="71"/>
      <c r="RO16" s="71"/>
      <c r="RP16" s="71"/>
      <c r="RQ16" s="71"/>
      <c r="RR16" s="71"/>
      <c r="RS16" s="71"/>
      <c r="RT16" s="71"/>
      <c r="RU16" s="71"/>
      <c r="RV16" s="71"/>
      <c r="RW16" s="71"/>
      <c r="RX16" s="71"/>
      <c r="RY16" s="71"/>
      <c r="RZ16" s="71"/>
      <c r="SA16" s="71"/>
      <c r="SB16" s="71"/>
      <c r="SC16" s="71"/>
      <c r="SD16" s="71"/>
      <c r="SE16" s="71"/>
      <c r="SF16" s="71"/>
      <c r="SG16" s="71"/>
      <c r="SH16" s="71"/>
      <c r="SI16" s="71"/>
      <c r="SJ16" s="71"/>
      <c r="SK16" s="71"/>
      <c r="SL16" s="71"/>
      <c r="SM16" s="71"/>
      <c r="SN16" s="71"/>
      <c r="SO16" s="71"/>
      <c r="SP16" s="71"/>
      <c r="SQ16" s="71"/>
      <c r="SR16" s="71"/>
      <c r="SS16" s="71"/>
      <c r="ST16" s="71"/>
      <c r="SU16" s="71"/>
      <c r="SV16" s="71"/>
      <c r="SW16" s="71"/>
      <c r="SX16" s="71"/>
      <c r="SY16" s="71"/>
      <c r="SZ16" s="71"/>
      <c r="TA16" s="71"/>
      <c r="TB16" s="71"/>
      <c r="TC16" s="71"/>
      <c r="TD16" s="71"/>
      <c r="TE16" s="71"/>
      <c r="TF16" s="71"/>
      <c r="TG16" s="71"/>
      <c r="TH16" s="71"/>
      <c r="TI16" s="71"/>
      <c r="TJ16" s="71"/>
      <c r="TK16" s="71"/>
      <c r="TL16" s="71"/>
      <c r="TM16" s="71"/>
      <c r="TN16" s="71"/>
      <c r="TO16" s="71"/>
      <c r="TP16" s="71"/>
      <c r="TQ16" s="71"/>
      <c r="TR16" s="71"/>
      <c r="TS16" s="71"/>
      <c r="TT16" s="71"/>
      <c r="TU16" s="71"/>
      <c r="TV16" s="71"/>
      <c r="TW16" s="71"/>
      <c r="TX16" s="71"/>
      <c r="TY16" s="71"/>
      <c r="TZ16" s="71"/>
      <c r="UA16" s="71"/>
      <c r="UB16" s="71"/>
      <c r="UC16" s="71"/>
      <c r="UD16" s="71"/>
      <c r="UE16" s="71"/>
      <c r="UF16" s="71"/>
      <c r="UG16" s="71"/>
      <c r="UH16" s="71"/>
      <c r="UI16" s="71"/>
      <c r="UJ16" s="71"/>
      <c r="UK16" s="71"/>
      <c r="UL16" s="71"/>
      <c r="UM16" s="71"/>
      <c r="UN16" s="71"/>
      <c r="UO16" s="71"/>
      <c r="UP16" s="71"/>
      <c r="UQ16" s="71"/>
      <c r="UR16" s="71"/>
      <c r="US16" s="71"/>
      <c r="UT16" s="71"/>
      <c r="UU16" s="71"/>
      <c r="UV16" s="71"/>
      <c r="UW16" s="71"/>
      <c r="UX16" s="71"/>
      <c r="UY16" s="71"/>
      <c r="UZ16" s="71"/>
      <c r="VA16" s="71"/>
      <c r="VB16" s="71"/>
      <c r="VC16" s="71"/>
      <c r="VD16" s="71"/>
      <c r="VE16" s="71"/>
      <c r="VF16" s="71"/>
      <c r="VG16" s="71"/>
      <c r="VH16" s="71"/>
      <c r="VI16" s="71"/>
      <c r="VJ16" s="71"/>
      <c r="VK16" s="71"/>
      <c r="VL16" s="71"/>
      <c r="VM16" s="71"/>
      <c r="VN16" s="71"/>
      <c r="VO16" s="71"/>
      <c r="VP16" s="71"/>
      <c r="VQ16" s="71"/>
      <c r="VR16" s="71"/>
      <c r="VS16" s="71"/>
      <c r="VT16" s="71"/>
      <c r="VU16" s="71"/>
      <c r="VV16" s="71"/>
      <c r="VW16" s="71"/>
      <c r="VX16" s="71"/>
      <c r="VY16" s="71"/>
      <c r="VZ16" s="71"/>
      <c r="WA16" s="71"/>
      <c r="WB16" s="71"/>
      <c r="WC16" s="71"/>
      <c r="WD16" s="71"/>
      <c r="WE16" s="71"/>
      <c r="WF16" s="71"/>
      <c r="WG16" s="71"/>
      <c r="WH16" s="71"/>
      <c r="WI16" s="71"/>
      <c r="WJ16" s="71"/>
      <c r="WK16" s="71"/>
      <c r="WL16" s="71"/>
      <c r="WM16" s="71"/>
      <c r="WN16" s="71"/>
      <c r="WO16" s="71"/>
      <c r="WP16" s="71"/>
      <c r="WQ16" s="71"/>
      <c r="WR16" s="71"/>
      <c r="WS16" s="71"/>
      <c r="WT16" s="71"/>
      <c r="WU16" s="71"/>
      <c r="WV16" s="71"/>
      <c r="WW16" s="71"/>
      <c r="WX16" s="71"/>
      <c r="WY16" s="71"/>
      <c r="WZ16" s="71"/>
      <c r="XA16" s="71"/>
      <c r="XB16" s="71"/>
      <c r="XC16" s="71"/>
      <c r="XD16" s="71"/>
      <c r="XE16" s="71"/>
      <c r="XF16" s="71"/>
      <c r="XG16" s="71"/>
      <c r="XH16" s="71"/>
      <c r="XI16" s="71"/>
      <c r="XJ16" s="71"/>
      <c r="XK16" s="71"/>
      <c r="XL16" s="71"/>
      <c r="XM16" s="71"/>
      <c r="XN16" s="71"/>
      <c r="XO16" s="71"/>
      <c r="XP16" s="71"/>
      <c r="XQ16" s="71"/>
      <c r="XR16" s="71"/>
      <c r="XS16" s="71"/>
      <c r="XT16" s="71"/>
      <c r="XU16" s="71"/>
      <c r="XV16" s="71"/>
      <c r="XW16" s="71"/>
      <c r="XX16" s="71"/>
      <c r="XY16" s="71"/>
      <c r="XZ16" s="71"/>
      <c r="YA16" s="71"/>
      <c r="YB16" s="71"/>
      <c r="YC16" s="71"/>
      <c r="YD16" s="71"/>
      <c r="YE16" s="71"/>
      <c r="YF16" s="71"/>
      <c r="YG16" s="71"/>
      <c r="YH16" s="71"/>
      <c r="YI16" s="71"/>
      <c r="YJ16" s="71"/>
      <c r="YK16" s="71"/>
      <c r="YL16" s="71"/>
      <c r="YM16" s="71"/>
      <c r="YN16" s="71"/>
      <c r="YO16" s="71"/>
      <c r="YP16" s="71"/>
      <c r="YQ16" s="71"/>
      <c r="YR16" s="71"/>
      <c r="YS16" s="71"/>
      <c r="YT16" s="71"/>
      <c r="YU16" s="71"/>
      <c r="YV16" s="71"/>
      <c r="YW16" s="71"/>
      <c r="YX16" s="71"/>
      <c r="YY16" s="71"/>
      <c r="YZ16" s="71"/>
      <c r="ZA16" s="71"/>
      <c r="ZB16" s="71"/>
      <c r="ZC16" s="71"/>
      <c r="ZD16" s="71"/>
      <c r="ZE16" s="71"/>
      <c r="ZF16" s="71"/>
      <c r="ZG16" s="71"/>
      <c r="ZH16" s="71"/>
      <c r="ZI16" s="71"/>
      <c r="ZJ16" s="71"/>
      <c r="ZK16" s="71"/>
      <c r="ZL16" s="71"/>
      <c r="ZM16" s="71"/>
      <c r="ZN16" s="71"/>
      <c r="ZO16" s="71"/>
      <c r="ZP16" s="71"/>
      <c r="ZQ16" s="71"/>
      <c r="ZR16" s="71"/>
      <c r="ZS16" s="71"/>
      <c r="ZT16" s="71"/>
      <c r="ZU16" s="71"/>
      <c r="ZV16" s="71"/>
      <c r="ZW16" s="71"/>
      <c r="ZX16" s="71"/>
      <c r="ZY16" s="71"/>
      <c r="ZZ16" s="71"/>
      <c r="AAA16" s="71"/>
      <c r="AAB16" s="71"/>
      <c r="AAC16" s="71"/>
      <c r="AAD16" s="71"/>
      <c r="AAE16" s="71"/>
      <c r="AAF16" s="71"/>
      <c r="AAG16" s="71"/>
      <c r="AAH16" s="71"/>
      <c r="AAI16" s="71"/>
      <c r="AAJ16" s="71"/>
      <c r="AAK16" s="71"/>
      <c r="AAL16" s="71"/>
      <c r="AAM16" s="71"/>
      <c r="AAN16" s="71"/>
      <c r="AAO16" s="71"/>
      <c r="AAP16" s="71"/>
      <c r="AAQ16" s="71"/>
      <c r="AAR16" s="71"/>
      <c r="AAS16" s="71"/>
      <c r="AAT16" s="71"/>
      <c r="AAU16" s="71"/>
      <c r="AAV16" s="71"/>
      <c r="AAW16" s="71"/>
      <c r="AAX16" s="71"/>
      <c r="AAY16" s="71"/>
      <c r="AAZ16" s="71"/>
      <c r="ABA16" s="71"/>
      <c r="ABB16" s="71"/>
      <c r="ABC16" s="71"/>
      <c r="ABD16" s="71"/>
      <c r="ABE16" s="71"/>
      <c r="ABF16" s="71"/>
      <c r="ABG16" s="71"/>
      <c r="ABH16" s="71"/>
      <c r="ABI16" s="71"/>
      <c r="ABJ16" s="71"/>
      <c r="ABK16" s="71"/>
      <c r="ABL16" s="71"/>
      <c r="ABM16" s="71"/>
      <c r="ABN16" s="71"/>
      <c r="ABO16" s="71"/>
      <c r="ABP16" s="71"/>
      <c r="ABQ16" s="71"/>
      <c r="ABR16" s="71"/>
      <c r="ABS16" s="71"/>
      <c r="ABT16" s="71"/>
      <c r="ABU16" s="71"/>
      <c r="ABV16" s="71"/>
      <c r="ABW16" s="71"/>
      <c r="ABX16" s="71"/>
      <c r="ABY16" s="71"/>
      <c r="ABZ16" s="71"/>
      <c r="ACA16" s="71"/>
      <c r="ACB16" s="71"/>
      <c r="ACC16" s="71"/>
      <c r="ACD16" s="71"/>
      <c r="ACE16" s="71"/>
      <c r="ACF16" s="71"/>
      <c r="ACG16" s="71"/>
      <c r="ACH16" s="71"/>
      <c r="ACI16" s="71"/>
      <c r="ACJ16" s="71"/>
      <c r="ACK16" s="71"/>
      <c r="ACL16" s="71"/>
      <c r="ACM16" s="71"/>
      <c r="ACN16" s="71"/>
      <c r="ACO16" s="71"/>
      <c r="ACP16" s="71"/>
      <c r="ACQ16" s="71"/>
      <c r="ACR16" s="71"/>
      <c r="ACS16" s="71"/>
      <c r="ACT16" s="71"/>
      <c r="ACU16" s="71"/>
      <c r="ACV16" s="71"/>
      <c r="ACW16" s="71"/>
      <c r="ACX16" s="71"/>
      <c r="ACY16" s="71"/>
      <c r="ACZ16" s="71"/>
      <c r="ADA16" s="71"/>
      <c r="ADB16" s="71"/>
      <c r="ADC16" s="71"/>
      <c r="ADD16" s="71"/>
      <c r="ADE16" s="71"/>
      <c r="ADF16" s="71"/>
      <c r="ADG16" s="71"/>
      <c r="ADH16" s="71"/>
      <c r="ADI16" s="71"/>
      <c r="ADJ16" s="71"/>
      <c r="ADK16" s="71"/>
      <c r="ADL16" s="71"/>
      <c r="ADM16" s="71"/>
      <c r="ADN16" s="71"/>
      <c r="ADO16" s="71"/>
      <c r="ADP16" s="71"/>
      <c r="ADQ16" s="71"/>
      <c r="ADR16" s="71"/>
      <c r="ADS16" s="71"/>
      <c r="ADT16" s="71"/>
      <c r="ADU16" s="71"/>
      <c r="ADV16" s="71"/>
      <c r="ADW16" s="71"/>
      <c r="ADX16" s="71"/>
      <c r="ADY16" s="71"/>
      <c r="ADZ16" s="71"/>
      <c r="AEA16" s="71"/>
      <c r="AEB16" s="71"/>
      <c r="AEC16" s="71"/>
      <c r="AED16" s="71"/>
      <c r="AEE16" s="71"/>
      <c r="AEF16" s="71"/>
      <c r="AEG16" s="71"/>
      <c r="AEH16" s="71"/>
      <c r="AEI16" s="71"/>
      <c r="AEJ16" s="71"/>
      <c r="AEK16" s="71"/>
      <c r="AEL16" s="71"/>
      <c r="AEM16" s="71"/>
      <c r="AEN16" s="71"/>
      <c r="AEO16" s="71"/>
      <c r="AEP16" s="71"/>
      <c r="AEQ16" s="71"/>
      <c r="AER16" s="71"/>
      <c r="AES16" s="71"/>
      <c r="AET16" s="71"/>
      <c r="AEU16" s="71"/>
      <c r="AEV16" s="71"/>
      <c r="AEW16" s="71"/>
      <c r="AEX16" s="71"/>
      <c r="AEY16" s="71"/>
      <c r="AEZ16" s="71"/>
      <c r="AFA16" s="71"/>
      <c r="AFB16" s="71"/>
      <c r="AFC16" s="71"/>
      <c r="AFD16" s="71"/>
      <c r="AFE16" s="71"/>
      <c r="AFF16" s="71"/>
      <c r="AFG16" s="71"/>
      <c r="AFH16" s="71"/>
      <c r="AFI16" s="71"/>
      <c r="AFJ16" s="71"/>
      <c r="AFK16" s="71"/>
      <c r="AFL16" s="71"/>
      <c r="AFM16" s="71"/>
      <c r="AFN16" s="71"/>
      <c r="AFO16" s="71"/>
      <c r="AFP16" s="71"/>
      <c r="AFQ16" s="71"/>
      <c r="AFR16" s="71"/>
      <c r="AFS16" s="71"/>
      <c r="AFT16" s="71"/>
      <c r="AFU16" s="71"/>
      <c r="AFV16" s="71"/>
      <c r="AFW16" s="71"/>
      <c r="AFX16" s="71"/>
      <c r="AFY16" s="71"/>
      <c r="AFZ16" s="71"/>
      <c r="AGA16" s="71"/>
      <c r="AGB16" s="71"/>
      <c r="AGC16" s="71"/>
      <c r="AGD16" s="71"/>
      <c r="AGE16" s="71"/>
      <c r="AGF16" s="71"/>
      <c r="AGG16" s="71"/>
      <c r="AGH16" s="71"/>
      <c r="AGI16" s="71"/>
      <c r="AGJ16" s="71"/>
      <c r="AGK16" s="71"/>
      <c r="AGL16" s="71"/>
      <c r="AGM16" s="71"/>
      <c r="AGN16" s="71"/>
      <c r="AGO16" s="71"/>
      <c r="AGP16" s="71"/>
      <c r="AGQ16" s="71"/>
      <c r="AGR16" s="71"/>
      <c r="AGS16" s="71"/>
      <c r="AGT16" s="71"/>
      <c r="AGU16" s="71"/>
      <c r="AGV16" s="71"/>
      <c r="AGW16" s="71"/>
      <c r="AGX16" s="71"/>
      <c r="AGY16" s="71"/>
      <c r="AGZ16" s="71"/>
      <c r="AHA16" s="71"/>
      <c r="AHB16" s="71"/>
      <c r="AHC16" s="71"/>
      <c r="AHD16" s="71"/>
      <c r="AHE16" s="71"/>
      <c r="AHF16" s="71"/>
      <c r="AHG16" s="71"/>
      <c r="AHH16" s="71"/>
      <c r="AHI16" s="71"/>
      <c r="AHJ16" s="71"/>
      <c r="AHK16" s="71"/>
      <c r="AHL16" s="71"/>
      <c r="AHM16" s="71"/>
      <c r="AHN16" s="71"/>
      <c r="AHO16" s="71"/>
      <c r="AHP16" s="71"/>
      <c r="AHQ16" s="71"/>
      <c r="AHR16" s="71"/>
      <c r="AHS16" s="71"/>
      <c r="AHT16" s="71"/>
      <c r="AHU16" s="71"/>
      <c r="AHV16" s="71"/>
      <c r="AHW16" s="71"/>
      <c r="AHX16" s="71"/>
      <c r="AHY16" s="71"/>
      <c r="AHZ16" s="71"/>
      <c r="AIA16" s="71"/>
      <c r="AIB16" s="71"/>
      <c r="AIC16" s="71"/>
      <c r="AID16" s="71"/>
      <c r="AIE16" s="71"/>
      <c r="AIF16" s="71"/>
      <c r="AIG16" s="71"/>
      <c r="AIH16" s="71"/>
      <c r="AII16" s="71"/>
      <c r="AIJ16" s="71"/>
      <c r="AIK16" s="71"/>
      <c r="AIL16" s="71"/>
      <c r="AIM16" s="71"/>
      <c r="AIN16" s="71"/>
      <c r="AIO16" s="71"/>
      <c r="AIP16" s="71"/>
      <c r="AIQ16" s="71"/>
      <c r="AIR16" s="71"/>
      <c r="AIS16" s="71"/>
      <c r="AIT16" s="71"/>
      <c r="AIU16" s="71"/>
      <c r="AIV16" s="71"/>
      <c r="AIW16" s="71"/>
      <c r="AIX16" s="71"/>
      <c r="AIY16" s="71"/>
      <c r="AIZ16" s="71"/>
      <c r="AJA16" s="71"/>
      <c r="AJB16" s="71"/>
      <c r="AJC16" s="71"/>
      <c r="AJD16" s="71"/>
      <c r="AJE16" s="71"/>
      <c r="AJF16" s="71"/>
      <c r="AJG16" s="71"/>
      <c r="AJH16" s="71"/>
      <c r="AJI16" s="71"/>
      <c r="AJJ16" s="71"/>
      <c r="AJK16" s="71"/>
      <c r="AJL16" s="71"/>
      <c r="AJM16" s="71"/>
      <c r="AJN16" s="71"/>
      <c r="AJO16" s="71"/>
      <c r="AJP16" s="71"/>
      <c r="AJQ16" s="71"/>
      <c r="AJR16" s="71"/>
      <c r="AJS16" s="71"/>
      <c r="AJT16" s="71"/>
      <c r="AJU16" s="71"/>
      <c r="AJV16" s="71"/>
      <c r="AJW16" s="71"/>
      <c r="AJX16" s="71"/>
      <c r="AJY16" s="71"/>
      <c r="AJZ16" s="71"/>
      <c r="AKA16" s="71"/>
      <c r="AKB16" s="71"/>
      <c r="AKC16" s="71"/>
      <c r="AKD16" s="71"/>
      <c r="AKE16" s="71"/>
      <c r="AKF16" s="71"/>
      <c r="AKG16" s="71"/>
      <c r="AKH16" s="71"/>
      <c r="AKI16" s="71"/>
      <c r="AKJ16" s="71"/>
      <c r="AKK16" s="71"/>
      <c r="AKL16" s="71"/>
      <c r="AKM16" s="71"/>
      <c r="AKN16" s="71"/>
      <c r="AKO16" s="71"/>
      <c r="AKP16" s="71"/>
      <c r="AKQ16" s="71"/>
      <c r="AKR16" s="71"/>
      <c r="AKS16" s="71"/>
      <c r="AKT16" s="71"/>
      <c r="AKU16" s="71"/>
      <c r="AKV16" s="71"/>
      <c r="AKW16" s="71"/>
      <c r="AKX16" s="71"/>
      <c r="AKY16" s="71"/>
      <c r="AKZ16" s="71"/>
      <c r="ALA16" s="71"/>
      <c r="ALB16" s="71"/>
      <c r="ALC16" s="71"/>
      <c r="ALD16" s="71"/>
      <c r="ALE16" s="71"/>
      <c r="ALF16" s="71"/>
      <c r="ALG16" s="71"/>
      <c r="ALH16" s="71"/>
      <c r="ALI16" s="71"/>
      <c r="ALJ16" s="71"/>
      <c r="ALK16" s="71"/>
      <c r="ALL16" s="71"/>
      <c r="ALM16" s="71"/>
      <c r="ALN16" s="71"/>
      <c r="ALO16" s="71"/>
      <c r="ALP16" s="71"/>
      <c r="ALQ16" s="71"/>
      <c r="ALR16" s="71"/>
      <c r="ALS16" s="71"/>
      <c r="ALT16" s="71"/>
      <c r="ALU16" s="71"/>
      <c r="ALV16" s="71"/>
      <c r="ALW16" s="71"/>
      <c r="ALX16" s="71"/>
      <c r="ALY16" s="71"/>
      <c r="ALZ16" s="71"/>
      <c r="AMA16" s="71"/>
      <c r="AMB16" s="71"/>
      <c r="AMC16" s="71"/>
      <c r="AMD16" s="71"/>
      <c r="AME16" s="71"/>
      <c r="AMF16" s="71"/>
      <c r="AMG16" s="71"/>
      <c r="AMH16" s="71"/>
      <c r="AMI16" s="71"/>
      <c r="AMJ16" s="71"/>
      <c r="AMK16" s="71"/>
      <c r="AML16" s="71"/>
      <c r="AMM16" s="71"/>
      <c r="AMN16" s="71"/>
      <c r="AMO16" s="71"/>
      <c r="AMP16" s="71"/>
      <c r="AMQ16" s="71"/>
      <c r="AMR16" s="71"/>
      <c r="AMS16" s="71"/>
      <c r="AMT16" s="71"/>
      <c r="AMU16" s="71"/>
      <c r="AMV16" s="71"/>
      <c r="AMW16" s="71"/>
      <c r="AMX16" s="71"/>
      <c r="AMY16" s="71"/>
      <c r="AMZ16" s="71"/>
      <c r="ANA16" s="71"/>
      <c r="ANB16" s="71"/>
      <c r="ANC16" s="71"/>
      <c r="AND16" s="71"/>
      <c r="ANE16" s="71"/>
    </row>
    <row r="17" spans="1:1045" ht="119.25" hidden="1" customHeight="1" x14ac:dyDescent="0.25">
      <c r="A17" s="71"/>
      <c r="B17" s="240"/>
      <c r="C17" s="240"/>
      <c r="D17" s="242"/>
      <c r="E17" s="242"/>
      <c r="F17" s="243"/>
      <c r="G17" s="75" t="s">
        <v>120</v>
      </c>
      <c r="H17" s="239" t="s">
        <v>1038</v>
      </c>
      <c r="I17" s="239"/>
      <c r="J17" s="239"/>
      <c r="K17" s="239"/>
      <c r="L17" s="330" t="s">
        <v>1039</v>
      </c>
      <c r="M17" s="330"/>
      <c r="N17" s="330"/>
      <c r="O17" s="330"/>
      <c r="P17" s="327"/>
      <c r="Q17" s="327"/>
      <c r="R17" s="327"/>
      <c r="S17" s="327"/>
      <c r="T17" s="327"/>
      <c r="U17" s="327"/>
      <c r="V17" s="331"/>
      <c r="W17" s="332"/>
      <c r="X17" s="327"/>
      <c r="Y17" s="327"/>
      <c r="Z17" s="327"/>
      <c r="AA17" s="327"/>
      <c r="AB17" s="327"/>
      <c r="AC17" s="327"/>
      <c r="AD17" s="327"/>
      <c r="AE17" s="327"/>
      <c r="AF17" s="327"/>
      <c r="AG17" s="327"/>
      <c r="AH17" s="327"/>
      <c r="AI17" s="327"/>
      <c r="AJ17" s="327"/>
      <c r="AK17" s="137"/>
      <c r="AL17" s="137"/>
      <c r="AM17" s="137"/>
      <c r="AN17" s="137"/>
      <c r="AO17" s="137"/>
      <c r="AP17" s="327"/>
      <c r="AQ17" s="327"/>
      <c r="AR17" s="327"/>
      <c r="AS17" s="327"/>
      <c r="AT17" s="327"/>
      <c r="AU17" s="327"/>
      <c r="AV17" s="327"/>
      <c r="AW17" s="327"/>
      <c r="AX17" s="137"/>
      <c r="AY17" s="327"/>
      <c r="AZ17" s="327"/>
      <c r="BA17" s="327"/>
      <c r="BB17" s="327"/>
      <c r="BC17" s="327"/>
      <c r="BD17" s="327"/>
      <c r="BE17" s="327"/>
      <c r="BF17" s="327"/>
      <c r="BG17" s="137"/>
      <c r="BH17" s="137"/>
      <c r="BI17" s="137"/>
      <c r="BJ17" s="137"/>
      <c r="BK17" s="137"/>
      <c r="BL17" s="76">
        <v>45369</v>
      </c>
      <c r="BM17" s="77">
        <v>45385</v>
      </c>
      <c r="BN17" s="78"/>
      <c r="BO17" s="77"/>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c r="KI17" s="71"/>
      <c r="KJ17" s="71"/>
      <c r="KK17" s="71"/>
      <c r="KL17" s="71"/>
      <c r="KM17" s="71"/>
      <c r="KN17" s="71"/>
      <c r="KO17" s="71"/>
      <c r="KP17" s="71"/>
      <c r="KQ17" s="71"/>
      <c r="KR17" s="71"/>
      <c r="KS17" s="71"/>
      <c r="KT17" s="71"/>
      <c r="KU17" s="71"/>
      <c r="KV17" s="71"/>
      <c r="KW17" s="71"/>
      <c r="KX17" s="71"/>
      <c r="KY17" s="71"/>
      <c r="KZ17" s="71"/>
      <c r="LA17" s="71"/>
      <c r="LB17" s="71"/>
      <c r="LC17" s="71"/>
      <c r="LD17" s="71"/>
      <c r="LE17" s="71"/>
      <c r="LF17" s="71"/>
      <c r="LG17" s="71"/>
      <c r="LH17" s="71"/>
      <c r="LI17" s="71"/>
      <c r="LJ17" s="71"/>
      <c r="LK17" s="71"/>
      <c r="LL17" s="71"/>
      <c r="LM17" s="71"/>
      <c r="LN17" s="71"/>
      <c r="LO17" s="71"/>
      <c r="LP17" s="71"/>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71"/>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71"/>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c r="SH17" s="71"/>
      <c r="SI17" s="71"/>
      <c r="SJ17" s="71"/>
      <c r="SK17" s="71"/>
      <c r="SL17" s="71"/>
      <c r="SM17" s="71"/>
      <c r="SN17" s="71"/>
      <c r="SO17" s="71"/>
      <c r="SP17" s="71"/>
      <c r="SQ17" s="71"/>
      <c r="SR17" s="71"/>
      <c r="SS17" s="71"/>
      <c r="ST17" s="71"/>
      <c r="SU17" s="71"/>
      <c r="SV17" s="71"/>
      <c r="SW17" s="71"/>
      <c r="SX17" s="71"/>
      <c r="SY17" s="71"/>
      <c r="SZ17" s="71"/>
      <c r="TA17" s="71"/>
      <c r="TB17" s="71"/>
      <c r="TC17" s="71"/>
      <c r="TD17" s="71"/>
      <c r="TE17" s="71"/>
      <c r="TF17" s="71"/>
      <c r="TG17" s="71"/>
      <c r="TH17" s="71"/>
      <c r="TI17" s="71"/>
      <c r="TJ17" s="71"/>
      <c r="TK17" s="71"/>
      <c r="TL17" s="71"/>
      <c r="TM17" s="71"/>
      <c r="TN17" s="71"/>
      <c r="TO17" s="71"/>
      <c r="TP17" s="71"/>
      <c r="TQ17" s="71"/>
      <c r="TR17" s="71"/>
      <c r="TS17" s="71"/>
      <c r="TT17" s="71"/>
      <c r="TU17" s="71"/>
      <c r="TV17" s="71"/>
      <c r="TW17" s="71"/>
      <c r="TX17" s="71"/>
      <c r="TY17" s="71"/>
      <c r="TZ17" s="71"/>
      <c r="UA17" s="71"/>
      <c r="UB17" s="71"/>
      <c r="UC17" s="71"/>
      <c r="UD17" s="71"/>
      <c r="UE17" s="71"/>
      <c r="UF17" s="71"/>
      <c r="UG17" s="71"/>
      <c r="UH17" s="71"/>
      <c r="UI17" s="71"/>
      <c r="UJ17" s="71"/>
      <c r="UK17" s="71"/>
      <c r="UL17" s="71"/>
      <c r="UM17" s="71"/>
      <c r="UN17" s="71"/>
      <c r="UO17" s="71"/>
      <c r="UP17" s="71"/>
      <c r="UQ17" s="71"/>
      <c r="UR17" s="71"/>
      <c r="US17" s="71"/>
      <c r="UT17" s="71"/>
      <c r="UU17" s="71"/>
      <c r="UV17" s="71"/>
      <c r="UW17" s="71"/>
      <c r="UX17" s="71"/>
      <c r="UY17" s="71"/>
      <c r="UZ17" s="71"/>
      <c r="VA17" s="71"/>
      <c r="VB17" s="71"/>
      <c r="VC17" s="71"/>
      <c r="VD17" s="71"/>
      <c r="VE17" s="71"/>
      <c r="VF17" s="71"/>
      <c r="VG17" s="71"/>
      <c r="VH17" s="71"/>
      <c r="VI17" s="71"/>
      <c r="VJ17" s="71"/>
      <c r="VK17" s="71"/>
      <c r="VL17" s="71"/>
      <c r="VM17" s="71"/>
      <c r="VN17" s="71"/>
      <c r="VO17" s="71"/>
      <c r="VP17" s="71"/>
      <c r="VQ17" s="71"/>
      <c r="VR17" s="71"/>
      <c r="VS17" s="71"/>
      <c r="VT17" s="71"/>
      <c r="VU17" s="71"/>
      <c r="VV17" s="71"/>
      <c r="VW17" s="71"/>
      <c r="VX17" s="71"/>
      <c r="VY17" s="71"/>
      <c r="VZ17" s="71"/>
      <c r="WA17" s="71"/>
      <c r="WB17" s="71"/>
      <c r="WC17" s="71"/>
      <c r="WD17" s="71"/>
      <c r="WE17" s="71"/>
      <c r="WF17" s="71"/>
      <c r="WG17" s="71"/>
      <c r="WH17" s="71"/>
      <c r="WI17" s="71"/>
      <c r="WJ17" s="71"/>
      <c r="WK17" s="71"/>
      <c r="WL17" s="71"/>
      <c r="WM17" s="71"/>
      <c r="WN17" s="71"/>
      <c r="WO17" s="71"/>
      <c r="WP17" s="71"/>
      <c r="WQ17" s="71"/>
      <c r="WR17" s="71"/>
      <c r="WS17" s="71"/>
      <c r="WT17" s="71"/>
      <c r="WU17" s="71"/>
      <c r="WV17" s="71"/>
      <c r="WW17" s="71"/>
      <c r="WX17" s="71"/>
      <c r="WY17" s="71"/>
      <c r="WZ17" s="71"/>
      <c r="XA17" s="71"/>
      <c r="XB17" s="71"/>
      <c r="XC17" s="71"/>
      <c r="XD17" s="71"/>
      <c r="XE17" s="71"/>
      <c r="XF17" s="71"/>
      <c r="XG17" s="71"/>
      <c r="XH17" s="71"/>
      <c r="XI17" s="71"/>
      <c r="XJ17" s="71"/>
      <c r="XK17" s="71"/>
      <c r="XL17" s="71"/>
      <c r="XM17" s="71"/>
      <c r="XN17" s="71"/>
      <c r="XO17" s="71"/>
      <c r="XP17" s="71"/>
      <c r="XQ17" s="71"/>
      <c r="XR17" s="71"/>
      <c r="XS17" s="71"/>
      <c r="XT17" s="71"/>
      <c r="XU17" s="71"/>
      <c r="XV17" s="71"/>
      <c r="XW17" s="71"/>
      <c r="XX17" s="71"/>
      <c r="XY17" s="71"/>
      <c r="XZ17" s="71"/>
      <c r="YA17" s="71"/>
      <c r="YB17" s="71"/>
      <c r="YC17" s="71"/>
      <c r="YD17" s="71"/>
      <c r="YE17" s="71"/>
      <c r="YF17" s="71"/>
      <c r="YG17" s="71"/>
      <c r="YH17" s="71"/>
      <c r="YI17" s="71"/>
      <c r="YJ17" s="71"/>
      <c r="YK17" s="71"/>
      <c r="YL17" s="71"/>
      <c r="YM17" s="71"/>
      <c r="YN17" s="71"/>
      <c r="YO17" s="71"/>
      <c r="YP17" s="71"/>
      <c r="YQ17" s="71"/>
      <c r="YR17" s="71"/>
      <c r="YS17" s="71"/>
      <c r="YT17" s="71"/>
      <c r="YU17" s="71"/>
      <c r="YV17" s="71"/>
      <c r="YW17" s="71"/>
      <c r="YX17" s="71"/>
      <c r="YY17" s="71"/>
      <c r="YZ17" s="71"/>
      <c r="ZA17" s="71"/>
      <c r="ZB17" s="71"/>
      <c r="ZC17" s="71"/>
      <c r="ZD17" s="71"/>
      <c r="ZE17" s="71"/>
      <c r="ZF17" s="71"/>
      <c r="ZG17" s="71"/>
      <c r="ZH17" s="71"/>
      <c r="ZI17" s="71"/>
      <c r="ZJ17" s="71"/>
      <c r="ZK17" s="71"/>
      <c r="ZL17" s="71"/>
      <c r="ZM17" s="71"/>
      <c r="ZN17" s="71"/>
      <c r="ZO17" s="71"/>
      <c r="ZP17" s="71"/>
      <c r="ZQ17" s="71"/>
      <c r="ZR17" s="71"/>
      <c r="ZS17" s="71"/>
      <c r="ZT17" s="71"/>
      <c r="ZU17" s="71"/>
      <c r="ZV17" s="71"/>
      <c r="ZW17" s="71"/>
      <c r="ZX17" s="71"/>
      <c r="ZY17" s="71"/>
      <c r="ZZ17" s="71"/>
      <c r="AAA17" s="71"/>
      <c r="AAB17" s="71"/>
      <c r="AAC17" s="71"/>
      <c r="AAD17" s="71"/>
      <c r="AAE17" s="71"/>
      <c r="AAF17" s="71"/>
      <c r="AAG17" s="71"/>
      <c r="AAH17" s="71"/>
      <c r="AAI17" s="71"/>
      <c r="AAJ17" s="71"/>
      <c r="AAK17" s="71"/>
      <c r="AAL17" s="71"/>
      <c r="AAM17" s="71"/>
      <c r="AAN17" s="71"/>
      <c r="AAO17" s="71"/>
      <c r="AAP17" s="71"/>
      <c r="AAQ17" s="71"/>
      <c r="AAR17" s="71"/>
      <c r="AAS17" s="71"/>
      <c r="AAT17" s="71"/>
      <c r="AAU17" s="71"/>
      <c r="AAV17" s="71"/>
      <c r="AAW17" s="71"/>
      <c r="AAX17" s="71"/>
      <c r="AAY17" s="71"/>
      <c r="AAZ17" s="71"/>
      <c r="ABA17" s="71"/>
      <c r="ABB17" s="71"/>
      <c r="ABC17" s="71"/>
      <c r="ABD17" s="71"/>
      <c r="ABE17" s="71"/>
      <c r="ABF17" s="71"/>
      <c r="ABG17" s="71"/>
      <c r="ABH17" s="71"/>
      <c r="ABI17" s="71"/>
      <c r="ABJ17" s="71"/>
      <c r="ABK17" s="71"/>
      <c r="ABL17" s="71"/>
      <c r="ABM17" s="71"/>
      <c r="ABN17" s="71"/>
      <c r="ABO17" s="71"/>
      <c r="ABP17" s="71"/>
      <c r="ABQ17" s="71"/>
      <c r="ABR17" s="71"/>
      <c r="ABS17" s="71"/>
      <c r="ABT17" s="71"/>
      <c r="ABU17" s="71"/>
      <c r="ABV17" s="71"/>
      <c r="ABW17" s="71"/>
      <c r="ABX17" s="71"/>
      <c r="ABY17" s="71"/>
      <c r="ABZ17" s="71"/>
      <c r="ACA17" s="71"/>
      <c r="ACB17" s="71"/>
      <c r="ACC17" s="71"/>
      <c r="ACD17" s="71"/>
      <c r="ACE17" s="71"/>
      <c r="ACF17" s="71"/>
      <c r="ACG17" s="71"/>
      <c r="ACH17" s="71"/>
      <c r="ACI17" s="71"/>
      <c r="ACJ17" s="71"/>
      <c r="ACK17" s="71"/>
      <c r="ACL17" s="71"/>
      <c r="ACM17" s="71"/>
      <c r="ACN17" s="71"/>
      <c r="ACO17" s="71"/>
      <c r="ACP17" s="71"/>
      <c r="ACQ17" s="71"/>
      <c r="ACR17" s="71"/>
      <c r="ACS17" s="71"/>
      <c r="ACT17" s="71"/>
      <c r="ACU17" s="71"/>
      <c r="ACV17" s="71"/>
      <c r="ACW17" s="71"/>
      <c r="ACX17" s="71"/>
      <c r="ACY17" s="71"/>
      <c r="ACZ17" s="71"/>
      <c r="ADA17" s="71"/>
      <c r="ADB17" s="71"/>
      <c r="ADC17" s="71"/>
      <c r="ADD17" s="71"/>
      <c r="ADE17" s="71"/>
      <c r="ADF17" s="71"/>
      <c r="ADG17" s="71"/>
      <c r="ADH17" s="71"/>
      <c r="ADI17" s="71"/>
      <c r="ADJ17" s="71"/>
      <c r="ADK17" s="71"/>
      <c r="ADL17" s="71"/>
      <c r="ADM17" s="71"/>
      <c r="ADN17" s="71"/>
      <c r="ADO17" s="71"/>
      <c r="ADP17" s="71"/>
      <c r="ADQ17" s="71"/>
      <c r="ADR17" s="71"/>
      <c r="ADS17" s="71"/>
      <c r="ADT17" s="71"/>
      <c r="ADU17" s="71"/>
      <c r="ADV17" s="71"/>
      <c r="ADW17" s="71"/>
      <c r="ADX17" s="71"/>
      <c r="ADY17" s="71"/>
      <c r="ADZ17" s="71"/>
      <c r="AEA17" s="71"/>
      <c r="AEB17" s="71"/>
      <c r="AEC17" s="71"/>
      <c r="AED17" s="71"/>
      <c r="AEE17" s="71"/>
      <c r="AEF17" s="71"/>
      <c r="AEG17" s="71"/>
      <c r="AEH17" s="71"/>
      <c r="AEI17" s="71"/>
      <c r="AEJ17" s="71"/>
      <c r="AEK17" s="71"/>
      <c r="AEL17" s="71"/>
      <c r="AEM17" s="71"/>
      <c r="AEN17" s="71"/>
      <c r="AEO17" s="71"/>
      <c r="AEP17" s="71"/>
      <c r="AEQ17" s="71"/>
      <c r="AER17" s="71"/>
      <c r="AES17" s="71"/>
      <c r="AET17" s="71"/>
      <c r="AEU17" s="71"/>
      <c r="AEV17" s="71"/>
      <c r="AEW17" s="71"/>
      <c r="AEX17" s="71"/>
      <c r="AEY17" s="71"/>
      <c r="AEZ17" s="71"/>
      <c r="AFA17" s="71"/>
      <c r="AFB17" s="71"/>
      <c r="AFC17" s="71"/>
      <c r="AFD17" s="71"/>
      <c r="AFE17" s="71"/>
      <c r="AFF17" s="71"/>
      <c r="AFG17" s="71"/>
      <c r="AFH17" s="71"/>
      <c r="AFI17" s="71"/>
      <c r="AFJ17" s="71"/>
      <c r="AFK17" s="71"/>
      <c r="AFL17" s="71"/>
      <c r="AFM17" s="71"/>
      <c r="AFN17" s="71"/>
      <c r="AFO17" s="71"/>
      <c r="AFP17" s="71"/>
      <c r="AFQ17" s="71"/>
      <c r="AFR17" s="71"/>
      <c r="AFS17" s="71"/>
      <c r="AFT17" s="71"/>
      <c r="AFU17" s="71"/>
      <c r="AFV17" s="71"/>
      <c r="AFW17" s="71"/>
      <c r="AFX17" s="71"/>
      <c r="AFY17" s="71"/>
      <c r="AFZ17" s="71"/>
      <c r="AGA17" s="71"/>
      <c r="AGB17" s="71"/>
      <c r="AGC17" s="71"/>
      <c r="AGD17" s="71"/>
      <c r="AGE17" s="71"/>
      <c r="AGF17" s="71"/>
      <c r="AGG17" s="71"/>
      <c r="AGH17" s="71"/>
      <c r="AGI17" s="71"/>
      <c r="AGJ17" s="71"/>
      <c r="AGK17" s="71"/>
      <c r="AGL17" s="71"/>
      <c r="AGM17" s="71"/>
      <c r="AGN17" s="71"/>
      <c r="AGO17" s="71"/>
      <c r="AGP17" s="71"/>
      <c r="AGQ17" s="71"/>
      <c r="AGR17" s="71"/>
      <c r="AGS17" s="71"/>
      <c r="AGT17" s="71"/>
      <c r="AGU17" s="71"/>
      <c r="AGV17" s="71"/>
      <c r="AGW17" s="71"/>
      <c r="AGX17" s="71"/>
      <c r="AGY17" s="71"/>
      <c r="AGZ17" s="71"/>
      <c r="AHA17" s="71"/>
      <c r="AHB17" s="71"/>
      <c r="AHC17" s="71"/>
      <c r="AHD17" s="71"/>
      <c r="AHE17" s="71"/>
      <c r="AHF17" s="71"/>
      <c r="AHG17" s="71"/>
      <c r="AHH17" s="71"/>
      <c r="AHI17" s="71"/>
      <c r="AHJ17" s="71"/>
      <c r="AHK17" s="71"/>
      <c r="AHL17" s="71"/>
      <c r="AHM17" s="71"/>
      <c r="AHN17" s="71"/>
      <c r="AHO17" s="71"/>
      <c r="AHP17" s="71"/>
      <c r="AHQ17" s="71"/>
      <c r="AHR17" s="71"/>
      <c r="AHS17" s="71"/>
      <c r="AHT17" s="71"/>
      <c r="AHU17" s="71"/>
      <c r="AHV17" s="71"/>
      <c r="AHW17" s="71"/>
      <c r="AHX17" s="71"/>
      <c r="AHY17" s="71"/>
      <c r="AHZ17" s="71"/>
      <c r="AIA17" s="71"/>
      <c r="AIB17" s="71"/>
      <c r="AIC17" s="71"/>
      <c r="AID17" s="71"/>
      <c r="AIE17" s="71"/>
      <c r="AIF17" s="71"/>
      <c r="AIG17" s="71"/>
      <c r="AIH17" s="71"/>
      <c r="AII17" s="71"/>
      <c r="AIJ17" s="71"/>
      <c r="AIK17" s="71"/>
      <c r="AIL17" s="71"/>
      <c r="AIM17" s="71"/>
      <c r="AIN17" s="71"/>
      <c r="AIO17" s="71"/>
      <c r="AIP17" s="71"/>
      <c r="AIQ17" s="71"/>
      <c r="AIR17" s="71"/>
      <c r="AIS17" s="71"/>
      <c r="AIT17" s="71"/>
      <c r="AIU17" s="71"/>
      <c r="AIV17" s="71"/>
      <c r="AIW17" s="71"/>
      <c r="AIX17" s="71"/>
      <c r="AIY17" s="71"/>
      <c r="AIZ17" s="71"/>
      <c r="AJA17" s="71"/>
      <c r="AJB17" s="71"/>
      <c r="AJC17" s="71"/>
      <c r="AJD17" s="71"/>
      <c r="AJE17" s="71"/>
      <c r="AJF17" s="71"/>
      <c r="AJG17" s="71"/>
      <c r="AJH17" s="71"/>
      <c r="AJI17" s="71"/>
      <c r="AJJ17" s="71"/>
      <c r="AJK17" s="71"/>
      <c r="AJL17" s="71"/>
      <c r="AJM17" s="71"/>
      <c r="AJN17" s="71"/>
      <c r="AJO17" s="71"/>
      <c r="AJP17" s="71"/>
      <c r="AJQ17" s="71"/>
      <c r="AJR17" s="71"/>
      <c r="AJS17" s="71"/>
      <c r="AJT17" s="71"/>
      <c r="AJU17" s="71"/>
      <c r="AJV17" s="71"/>
      <c r="AJW17" s="71"/>
      <c r="AJX17" s="71"/>
      <c r="AJY17" s="71"/>
      <c r="AJZ17" s="71"/>
      <c r="AKA17" s="71"/>
      <c r="AKB17" s="71"/>
      <c r="AKC17" s="71"/>
      <c r="AKD17" s="71"/>
      <c r="AKE17" s="71"/>
      <c r="AKF17" s="71"/>
      <c r="AKG17" s="71"/>
      <c r="AKH17" s="71"/>
      <c r="AKI17" s="71"/>
      <c r="AKJ17" s="71"/>
      <c r="AKK17" s="71"/>
      <c r="AKL17" s="71"/>
      <c r="AKM17" s="71"/>
      <c r="AKN17" s="71"/>
      <c r="AKO17" s="71"/>
      <c r="AKP17" s="71"/>
      <c r="AKQ17" s="71"/>
      <c r="AKR17" s="71"/>
      <c r="AKS17" s="71"/>
      <c r="AKT17" s="71"/>
      <c r="AKU17" s="71"/>
      <c r="AKV17" s="71"/>
      <c r="AKW17" s="71"/>
      <c r="AKX17" s="71"/>
      <c r="AKY17" s="71"/>
      <c r="AKZ17" s="71"/>
      <c r="ALA17" s="71"/>
      <c r="ALB17" s="71"/>
      <c r="ALC17" s="71"/>
      <c r="ALD17" s="71"/>
      <c r="ALE17" s="71"/>
      <c r="ALF17" s="71"/>
      <c r="ALG17" s="71"/>
      <c r="ALH17" s="71"/>
      <c r="ALI17" s="71"/>
      <c r="ALJ17" s="71"/>
      <c r="ALK17" s="71"/>
      <c r="ALL17" s="71"/>
      <c r="ALM17" s="71"/>
      <c r="ALN17" s="71"/>
      <c r="ALO17" s="71"/>
      <c r="ALP17" s="71"/>
      <c r="ALQ17" s="71"/>
      <c r="ALR17" s="71"/>
      <c r="ALS17" s="71"/>
      <c r="ALT17" s="71"/>
      <c r="ALU17" s="71"/>
      <c r="ALV17" s="71"/>
      <c r="ALW17" s="71"/>
      <c r="ALX17" s="71"/>
      <c r="ALY17" s="71"/>
      <c r="ALZ17" s="71"/>
      <c r="AMA17" s="71"/>
      <c r="AMB17" s="71"/>
      <c r="AMC17" s="71"/>
      <c r="AMD17" s="71"/>
      <c r="AME17" s="71"/>
      <c r="AMF17" s="71"/>
      <c r="AMG17" s="71"/>
      <c r="AMH17" s="71"/>
      <c r="AMI17" s="71"/>
      <c r="AMJ17" s="71"/>
      <c r="AMK17" s="71"/>
      <c r="AML17" s="71"/>
      <c r="AMM17" s="71"/>
      <c r="AMN17" s="71"/>
      <c r="AMO17" s="71"/>
      <c r="AMP17" s="71"/>
      <c r="AMQ17" s="71"/>
      <c r="AMR17" s="71"/>
      <c r="AMS17" s="71"/>
      <c r="AMT17" s="71"/>
      <c r="AMU17" s="71"/>
      <c r="AMV17" s="71"/>
      <c r="AMW17" s="71"/>
      <c r="AMX17" s="71"/>
      <c r="AMY17" s="71"/>
      <c r="AMZ17" s="71"/>
      <c r="ANA17" s="71"/>
      <c r="ANB17" s="71"/>
      <c r="ANC17" s="71"/>
      <c r="AND17" s="71"/>
      <c r="ANE17" s="71"/>
    </row>
  </sheetData>
  <mergeCells count="103">
    <mergeCell ref="X2:AB2"/>
    <mergeCell ref="AC2:AF2"/>
    <mergeCell ref="AG2:AJ2"/>
    <mergeCell ref="AK2:AO2"/>
    <mergeCell ref="AP2:AS2"/>
    <mergeCell ref="BL2:BO2"/>
    <mergeCell ref="B4:B5"/>
    <mergeCell ref="C4:C5"/>
    <mergeCell ref="D4:D5"/>
    <mergeCell ref="E4:E5"/>
    <mergeCell ref="F4:F5"/>
    <mergeCell ref="B6:B7"/>
    <mergeCell ref="C6:C7"/>
    <mergeCell ref="D6:D7"/>
    <mergeCell ref="E6:E7"/>
    <mergeCell ref="F6:F7"/>
    <mergeCell ref="AT2:AX2"/>
    <mergeCell ref="AY2:BB2"/>
    <mergeCell ref="BC2:BF2"/>
    <mergeCell ref="BG2:BK2"/>
    <mergeCell ref="B2:B3"/>
    <mergeCell ref="C2:C3"/>
    <mergeCell ref="D2:D3"/>
    <mergeCell ref="E2:E3"/>
    <mergeCell ref="F2:F3"/>
    <mergeCell ref="H2:K2"/>
    <mergeCell ref="L2:O2"/>
    <mergeCell ref="P2:S2"/>
    <mergeCell ref="T2:W2"/>
    <mergeCell ref="B8:B9"/>
    <mergeCell ref="C8:C9"/>
    <mergeCell ref="D8:D9"/>
    <mergeCell ref="E8:E9"/>
    <mergeCell ref="F8:F9"/>
    <mergeCell ref="H8:K8"/>
    <mergeCell ref="H9:K9"/>
    <mergeCell ref="B10:B11"/>
    <mergeCell ref="C10:C11"/>
    <mergeCell ref="D10:D11"/>
    <mergeCell ref="E10:E11"/>
    <mergeCell ref="F10:F11"/>
    <mergeCell ref="H10:K10"/>
    <mergeCell ref="L10:O10"/>
    <mergeCell ref="H11:K11"/>
    <mergeCell ref="L11:O11"/>
    <mergeCell ref="AT12:AW12"/>
    <mergeCell ref="AY12:BB12"/>
    <mergeCell ref="BC12:BF12"/>
    <mergeCell ref="BG12:BK12"/>
    <mergeCell ref="B12:B13"/>
    <mergeCell ref="C12:C13"/>
    <mergeCell ref="D12:D13"/>
    <mergeCell ref="E12:E13"/>
    <mergeCell ref="F12:F13"/>
    <mergeCell ref="H12:K12"/>
    <mergeCell ref="L12:O12"/>
    <mergeCell ref="P12:S12"/>
    <mergeCell ref="T12:W12"/>
    <mergeCell ref="X12:AB12"/>
    <mergeCell ref="AC12:AF12"/>
    <mergeCell ref="AG12:AJ12"/>
    <mergeCell ref="AK12:AO12"/>
    <mergeCell ref="AP12:AS12"/>
    <mergeCell ref="AT13:AW13"/>
    <mergeCell ref="AY13:BB13"/>
    <mergeCell ref="BC13:BF13"/>
    <mergeCell ref="P17:S17"/>
    <mergeCell ref="T17:W17"/>
    <mergeCell ref="X17:AB17"/>
    <mergeCell ref="BG13:BK13"/>
    <mergeCell ref="H13:K13"/>
    <mergeCell ref="L13:O13"/>
    <mergeCell ref="P13:S13"/>
    <mergeCell ref="T13:W13"/>
    <mergeCell ref="X13:AB13"/>
    <mergeCell ref="AC13:AF13"/>
    <mergeCell ref="AG13:AJ13"/>
    <mergeCell ref="AK13:AO13"/>
    <mergeCell ref="AP13:AS13"/>
    <mergeCell ref="AC17:AF17"/>
    <mergeCell ref="AG17:AJ17"/>
    <mergeCell ref="AP17:AS17"/>
    <mergeCell ref="AT16:AW16"/>
    <mergeCell ref="AY16:BB16"/>
    <mergeCell ref="BC16:BF16"/>
    <mergeCell ref="B16:B17"/>
    <mergeCell ref="C16:C17"/>
    <mergeCell ref="D16:D17"/>
    <mergeCell ref="E16:E17"/>
    <mergeCell ref="F16:F17"/>
    <mergeCell ref="H16:K16"/>
    <mergeCell ref="L16:O16"/>
    <mergeCell ref="P16:S16"/>
    <mergeCell ref="T16:W16"/>
    <mergeCell ref="X16:AB16"/>
    <mergeCell ref="AC16:AF16"/>
    <mergeCell ref="AG16:AJ16"/>
    <mergeCell ref="AP16:AS16"/>
    <mergeCell ref="AT17:AW17"/>
    <mergeCell ref="AY17:BB17"/>
    <mergeCell ref="BC17:BF17"/>
    <mergeCell ref="H17:K17"/>
    <mergeCell ref="L17:O17"/>
  </mergeCells>
  <phoneticPr fontId="0" type="noConversion"/>
  <pageMargins left="0.70078740157480313" right="0.70078740157480313" top="0.75196850393700787" bottom="0.75196850393700787" header="0.29921259842519687" footer="0.29921259842519687"/>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基础数据!$C$2:$C$6</xm:f>
          </x14:formula1>
          <xm:sqref>E4</xm:sqref>
        </x14:dataValidation>
        <x14:dataValidation type="list" allowBlank="1" showInputMessage="1" showErrorMessage="1" xr:uid="{00000000-0002-0000-0200-000001000000}">
          <x14:formula1>
            <xm:f>基础数据!$D$2:$D$9</xm:f>
          </x14:formula1>
          <xm:sqref>D4:E4 D6 D10:E10 D16:E16 D8:E8 D12:E12</xm:sqref>
        </x14:dataValidation>
        <x14:dataValidation type="list" allowBlank="1" showInputMessage="1" showErrorMessage="1" xr:uid="{00000000-0002-0000-0200-000002000000}">
          <x14:formula1>
            <xm:f>'[项目周月进度报告-生产运营.xlsx]基础数据'!#REF!</xm:f>
          </x14:formula1>
          <xm:sqref>E6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EC63-CA63-4898-B0DA-5C34DFA56A1B}">
  <sheetPr>
    <tabColor rgb="FF5B9BD5"/>
    <outlinePr summaryBelow="0" summaryRight="0"/>
  </sheetPr>
  <dimension ref="A1:ANF47"/>
  <sheetViews>
    <sheetView showGridLines="0" workbookViewId="0">
      <pane xSplit="7" ySplit="3" topLeftCell="AI4" activePane="bottomRight" state="frozen"/>
      <selection pane="topRight"/>
      <selection pane="bottomLeft"/>
      <selection pane="bottomRight" activeCell="AI5" sqref="AI5"/>
    </sheetView>
  </sheetViews>
  <sheetFormatPr defaultColWidth="8" defaultRowHeight="72" customHeight="1" x14ac:dyDescent="0.35"/>
  <cols>
    <col min="1" max="1" width="1.21875" style="49" hidden="1" customWidth="1"/>
    <col min="2" max="2" width="8.77734375" style="63" customWidth="1"/>
    <col min="3" max="3" width="6.33203125" style="63" customWidth="1"/>
    <col min="4" max="4" width="7.6640625" style="64" hidden="1" customWidth="1"/>
    <col min="5" max="5" width="6.5546875" style="64" hidden="1" customWidth="1"/>
    <col min="6" max="6" width="13.33203125" style="63" customWidth="1"/>
    <col min="7" max="7" width="6" style="63" customWidth="1"/>
    <col min="8" max="45" width="3.33203125" style="49" hidden="1" customWidth="1"/>
    <col min="46" max="46" width="27.77734375" style="49" hidden="1" customWidth="1"/>
    <col min="47" max="47" width="23.21875" style="49" hidden="1" customWidth="1"/>
    <col min="48" max="48" width="24.77734375" style="49" hidden="1" customWidth="1"/>
    <col min="49" max="49" width="22" style="49" hidden="1" customWidth="1"/>
    <col min="50" max="50" width="52.5546875" style="49" hidden="1" customWidth="1"/>
    <col min="51" max="51" width="16.77734375" style="49" hidden="1" customWidth="1"/>
    <col min="52" max="52" width="59.21875" style="49" hidden="1" customWidth="1"/>
    <col min="53" max="53" width="40.77734375" style="49" hidden="1" customWidth="1"/>
    <col min="54" max="54" width="45.109375" style="49" hidden="1" customWidth="1"/>
    <col min="55" max="55" width="57.5546875" style="49" hidden="1" customWidth="1"/>
    <col min="56" max="56" width="56.6640625" style="49" hidden="1" customWidth="1"/>
    <col min="57" max="57" width="53.21875" style="49" hidden="1" customWidth="1"/>
    <col min="58" max="58" width="53.5546875" style="49" hidden="1" customWidth="1"/>
    <col min="59" max="59" width="50" style="49" hidden="1" customWidth="1"/>
    <col min="60" max="60" width="52.77734375" style="49" hidden="1" customWidth="1"/>
    <col min="61" max="61" width="58.109375" style="49" customWidth="1"/>
    <col min="62" max="62" width="57.6640625" style="49" customWidth="1"/>
    <col min="63" max="63" width="17.33203125" style="49" customWidth="1"/>
    <col min="64" max="64" width="13.21875" style="69" customWidth="1"/>
    <col min="65" max="65" width="12.77734375" style="69" customWidth="1"/>
    <col min="66" max="66" width="13" style="69" customWidth="1"/>
    <col min="67" max="67" width="11.6640625" style="69" customWidth="1"/>
    <col min="68" max="68" width="18.109375" style="49" customWidth="1"/>
    <col min="69" max="1046" width="8" style="49"/>
    <col min="1047" max="16384" width="8" style="2"/>
  </cols>
  <sheetData>
    <row r="1" spans="1:1046" ht="9.75" hidden="1" customHeight="1" x14ac:dyDescent="0.35">
      <c r="A1" s="147"/>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c r="IV1" s="68"/>
      <c r="IW1" s="68"/>
      <c r="IX1" s="68"/>
      <c r="IY1" s="68"/>
      <c r="IZ1" s="68"/>
      <c r="JA1" s="68"/>
      <c r="JB1" s="68"/>
      <c r="JC1" s="68"/>
      <c r="JD1" s="68"/>
      <c r="JE1" s="68"/>
      <c r="JF1" s="68"/>
      <c r="JG1" s="68"/>
      <c r="JH1" s="68"/>
      <c r="JI1" s="68"/>
      <c r="JJ1" s="68"/>
      <c r="JK1" s="68"/>
      <c r="JL1" s="68"/>
      <c r="JM1" s="68"/>
      <c r="JN1" s="68"/>
      <c r="JO1" s="68"/>
      <c r="JP1" s="68"/>
      <c r="JQ1" s="68"/>
      <c r="JR1" s="68"/>
      <c r="JS1" s="68"/>
      <c r="JT1" s="68"/>
      <c r="JU1" s="68"/>
      <c r="JV1" s="68"/>
      <c r="JW1" s="68"/>
      <c r="JX1" s="68"/>
      <c r="JY1" s="68"/>
      <c r="JZ1" s="68"/>
      <c r="KA1" s="68"/>
      <c r="KB1" s="68"/>
      <c r="KC1" s="68"/>
      <c r="KD1" s="68"/>
      <c r="KE1" s="68"/>
      <c r="KF1" s="68"/>
      <c r="KG1" s="68"/>
      <c r="KH1" s="68"/>
      <c r="KI1" s="68"/>
      <c r="KJ1" s="68"/>
      <c r="KK1" s="68"/>
      <c r="KL1" s="68"/>
      <c r="KM1" s="68"/>
      <c r="KN1" s="68"/>
      <c r="KO1" s="68"/>
      <c r="KP1" s="68"/>
      <c r="KQ1" s="68"/>
      <c r="KR1" s="68"/>
      <c r="KS1" s="68"/>
      <c r="KT1" s="68"/>
      <c r="KU1" s="68"/>
      <c r="KV1" s="68"/>
      <c r="KW1" s="68"/>
      <c r="KX1" s="68"/>
      <c r="KY1" s="68"/>
      <c r="KZ1" s="68"/>
      <c r="LA1" s="68"/>
      <c r="LB1" s="68"/>
      <c r="LC1" s="68"/>
      <c r="LD1" s="68"/>
      <c r="LE1" s="68"/>
      <c r="LF1" s="68"/>
      <c r="LG1" s="68"/>
      <c r="LH1" s="68"/>
      <c r="LI1" s="68"/>
      <c r="LJ1" s="68"/>
      <c r="LK1" s="68"/>
      <c r="LL1" s="68"/>
      <c r="LM1" s="68"/>
      <c r="LN1" s="68"/>
      <c r="LO1" s="68"/>
      <c r="LP1" s="68"/>
      <c r="LQ1" s="68"/>
      <c r="LR1" s="68"/>
      <c r="LS1" s="68"/>
      <c r="LT1" s="68"/>
      <c r="LU1" s="68"/>
      <c r="LV1" s="68"/>
      <c r="LW1" s="68"/>
      <c r="LX1" s="68"/>
      <c r="LY1" s="68"/>
      <c r="LZ1" s="68"/>
      <c r="MA1" s="68"/>
      <c r="MB1" s="68"/>
      <c r="MC1" s="68"/>
      <c r="MD1" s="68"/>
      <c r="ME1" s="68"/>
      <c r="MF1" s="68"/>
      <c r="MG1" s="68"/>
      <c r="MH1" s="68"/>
      <c r="MI1" s="68"/>
      <c r="MJ1" s="68"/>
      <c r="MK1" s="68"/>
      <c r="ML1" s="68"/>
      <c r="MM1" s="68"/>
      <c r="MN1" s="68"/>
      <c r="MO1" s="68"/>
      <c r="MP1" s="68"/>
      <c r="MQ1" s="68"/>
      <c r="MR1" s="68"/>
      <c r="MS1" s="68"/>
      <c r="MT1" s="68"/>
      <c r="MU1" s="68"/>
      <c r="MV1" s="68"/>
      <c r="MW1" s="68"/>
      <c r="MX1" s="68"/>
      <c r="MY1" s="68"/>
      <c r="MZ1" s="68"/>
      <c r="NA1" s="68"/>
      <c r="NB1" s="68"/>
      <c r="NC1" s="68"/>
      <c r="ND1" s="68"/>
      <c r="NE1" s="68"/>
      <c r="NF1" s="68"/>
      <c r="NG1" s="68"/>
      <c r="NH1" s="68"/>
      <c r="NI1" s="68"/>
      <c r="NJ1" s="68"/>
      <c r="NK1" s="68"/>
      <c r="NL1" s="68"/>
      <c r="NM1" s="68"/>
      <c r="NN1" s="68"/>
      <c r="NO1" s="68"/>
      <c r="NP1" s="68"/>
      <c r="NQ1" s="68"/>
      <c r="NR1" s="68"/>
      <c r="NS1" s="68"/>
      <c r="NT1" s="68"/>
      <c r="NU1" s="68"/>
      <c r="NV1" s="68"/>
      <c r="NW1" s="68"/>
      <c r="NX1" s="68"/>
      <c r="NY1" s="68"/>
      <c r="NZ1" s="68"/>
      <c r="OA1" s="68"/>
      <c r="OB1" s="68"/>
      <c r="OC1" s="68"/>
      <c r="OD1" s="68"/>
      <c r="OE1" s="68"/>
      <c r="OF1" s="68"/>
      <c r="OG1" s="68"/>
      <c r="OH1" s="68"/>
      <c r="OI1" s="68"/>
      <c r="OJ1" s="68"/>
      <c r="OK1" s="68"/>
      <c r="OL1" s="68"/>
      <c r="OM1" s="68"/>
      <c r="ON1" s="68"/>
      <c r="OO1" s="68"/>
      <c r="OP1" s="68"/>
      <c r="OQ1" s="68"/>
      <c r="OR1" s="68"/>
      <c r="OS1" s="68"/>
      <c r="OT1" s="68"/>
      <c r="OU1" s="68"/>
      <c r="OV1" s="68"/>
      <c r="OW1" s="68"/>
      <c r="OX1" s="68"/>
      <c r="OY1" s="68"/>
      <c r="OZ1" s="68"/>
      <c r="PA1" s="68"/>
      <c r="PB1" s="68"/>
      <c r="PC1" s="68"/>
      <c r="PD1" s="68"/>
      <c r="PE1" s="68"/>
      <c r="PF1" s="68"/>
      <c r="PG1" s="68"/>
      <c r="PH1" s="68"/>
      <c r="PI1" s="68"/>
      <c r="PJ1" s="68"/>
      <c r="PK1" s="68"/>
      <c r="PL1" s="68"/>
      <c r="PM1" s="68"/>
      <c r="PN1" s="68"/>
      <c r="PO1" s="68"/>
      <c r="PP1" s="68"/>
      <c r="PQ1" s="68"/>
      <c r="PR1" s="68"/>
      <c r="PS1" s="68"/>
      <c r="PT1" s="68"/>
      <c r="PU1" s="68"/>
      <c r="PV1" s="68"/>
      <c r="PW1" s="68"/>
      <c r="PX1" s="68"/>
      <c r="PY1" s="68"/>
      <c r="PZ1" s="68"/>
      <c r="QA1" s="68"/>
      <c r="QB1" s="68"/>
      <c r="QC1" s="68"/>
      <c r="QD1" s="68"/>
      <c r="QE1" s="68"/>
      <c r="QF1" s="68"/>
      <c r="QG1" s="68"/>
      <c r="QH1" s="68"/>
      <c r="QI1" s="68"/>
      <c r="QJ1" s="68"/>
      <c r="QK1" s="68"/>
      <c r="QL1" s="68"/>
      <c r="QM1" s="68"/>
      <c r="QN1" s="68"/>
      <c r="QO1" s="68"/>
      <c r="QP1" s="68"/>
      <c r="QQ1" s="68"/>
      <c r="QR1" s="68"/>
      <c r="QS1" s="68"/>
      <c r="QT1" s="68"/>
      <c r="QU1" s="68"/>
      <c r="QV1" s="68"/>
      <c r="QW1" s="68"/>
      <c r="QX1" s="68"/>
      <c r="QY1" s="68"/>
      <c r="QZ1" s="68"/>
      <c r="RA1" s="68"/>
      <c r="RB1" s="68"/>
      <c r="RC1" s="68"/>
      <c r="RD1" s="68"/>
      <c r="RE1" s="68"/>
      <c r="RF1" s="68"/>
      <c r="RG1" s="68"/>
      <c r="RH1" s="68"/>
      <c r="RI1" s="68"/>
      <c r="RJ1" s="68"/>
      <c r="RK1" s="68"/>
      <c r="RL1" s="68"/>
      <c r="RM1" s="68"/>
      <c r="RN1" s="68"/>
      <c r="RO1" s="68"/>
      <c r="RP1" s="68"/>
      <c r="RQ1" s="68"/>
      <c r="RR1" s="68"/>
      <c r="RS1" s="68"/>
      <c r="RT1" s="68"/>
      <c r="RU1" s="68"/>
      <c r="RV1" s="68"/>
      <c r="RW1" s="68"/>
      <c r="RX1" s="68"/>
      <c r="RY1" s="68"/>
      <c r="RZ1" s="68"/>
      <c r="SA1" s="68"/>
      <c r="SB1" s="68"/>
      <c r="SC1" s="68"/>
      <c r="SD1" s="68"/>
      <c r="SE1" s="68"/>
      <c r="SF1" s="68"/>
      <c r="SG1" s="68"/>
      <c r="SH1" s="68"/>
      <c r="SI1" s="68"/>
      <c r="SJ1" s="68"/>
      <c r="SK1" s="68"/>
      <c r="SL1" s="68"/>
      <c r="SM1" s="68"/>
      <c r="SN1" s="68"/>
      <c r="SO1" s="68"/>
      <c r="SP1" s="68"/>
      <c r="SQ1" s="68"/>
      <c r="SR1" s="68"/>
      <c r="SS1" s="68"/>
      <c r="ST1" s="68"/>
      <c r="SU1" s="68"/>
      <c r="SV1" s="68"/>
      <c r="SW1" s="68"/>
      <c r="SX1" s="68"/>
      <c r="SY1" s="68"/>
      <c r="SZ1" s="68"/>
      <c r="TA1" s="68"/>
      <c r="TB1" s="68"/>
      <c r="TC1" s="68"/>
      <c r="TD1" s="68"/>
      <c r="TE1" s="68"/>
      <c r="TF1" s="68"/>
      <c r="TG1" s="68"/>
      <c r="TH1" s="68"/>
      <c r="TI1" s="68"/>
      <c r="TJ1" s="68"/>
      <c r="TK1" s="68"/>
      <c r="TL1" s="68"/>
      <c r="TM1" s="68"/>
      <c r="TN1" s="68"/>
      <c r="TO1" s="68"/>
      <c r="TP1" s="68"/>
      <c r="TQ1" s="68"/>
      <c r="TR1" s="68"/>
      <c r="TS1" s="68"/>
      <c r="TT1" s="68"/>
      <c r="TU1" s="68"/>
      <c r="TV1" s="68"/>
      <c r="TW1" s="68"/>
      <c r="TX1" s="68"/>
      <c r="TY1" s="68"/>
      <c r="TZ1" s="68"/>
      <c r="UA1" s="68"/>
      <c r="UB1" s="68"/>
      <c r="UC1" s="68"/>
      <c r="UD1" s="68"/>
      <c r="UE1" s="68"/>
      <c r="UF1" s="68"/>
      <c r="UG1" s="68"/>
      <c r="UH1" s="68"/>
      <c r="UI1" s="68"/>
      <c r="UJ1" s="68"/>
      <c r="UK1" s="68"/>
      <c r="UL1" s="68"/>
      <c r="UM1" s="68"/>
      <c r="UN1" s="68"/>
      <c r="UO1" s="68"/>
      <c r="UP1" s="68"/>
      <c r="UQ1" s="68"/>
      <c r="UR1" s="68"/>
      <c r="US1" s="68"/>
      <c r="UT1" s="68"/>
      <c r="UU1" s="68"/>
      <c r="UV1" s="68"/>
      <c r="UW1" s="68"/>
      <c r="UX1" s="68"/>
      <c r="UY1" s="68"/>
      <c r="UZ1" s="68"/>
      <c r="VA1" s="68"/>
      <c r="VB1" s="68"/>
      <c r="VC1" s="68"/>
      <c r="VD1" s="68"/>
      <c r="VE1" s="68"/>
      <c r="VF1" s="68"/>
      <c r="VG1" s="68"/>
      <c r="VH1" s="68"/>
      <c r="VI1" s="68"/>
      <c r="VJ1" s="68"/>
      <c r="VK1" s="68"/>
      <c r="VL1" s="68"/>
      <c r="VM1" s="68"/>
      <c r="VN1" s="68"/>
      <c r="VO1" s="68"/>
      <c r="VP1" s="68"/>
      <c r="VQ1" s="68"/>
      <c r="VR1" s="68"/>
      <c r="VS1" s="68"/>
      <c r="VT1" s="68"/>
      <c r="VU1" s="68"/>
      <c r="VV1" s="68"/>
      <c r="VW1" s="68"/>
      <c r="VX1" s="68"/>
      <c r="VY1" s="68"/>
      <c r="VZ1" s="68"/>
      <c r="WA1" s="68"/>
      <c r="WB1" s="68"/>
      <c r="WC1" s="68"/>
      <c r="WD1" s="68"/>
      <c r="WE1" s="68"/>
      <c r="WF1" s="68"/>
      <c r="WG1" s="68"/>
      <c r="WH1" s="68"/>
      <c r="WI1" s="68"/>
      <c r="WJ1" s="68"/>
      <c r="WK1" s="68"/>
      <c r="WL1" s="68"/>
      <c r="WM1" s="68"/>
      <c r="WN1" s="68"/>
      <c r="WO1" s="68"/>
      <c r="WP1" s="68"/>
      <c r="WQ1" s="68"/>
      <c r="WR1" s="68"/>
      <c r="WS1" s="68"/>
      <c r="WT1" s="68"/>
      <c r="WU1" s="68"/>
      <c r="WV1" s="68"/>
      <c r="WW1" s="68"/>
      <c r="WX1" s="68"/>
      <c r="WY1" s="68"/>
      <c r="WZ1" s="68"/>
      <c r="XA1" s="68"/>
      <c r="XB1" s="68"/>
      <c r="XC1" s="68"/>
      <c r="XD1" s="68"/>
      <c r="XE1" s="68"/>
      <c r="XF1" s="68"/>
      <c r="XG1" s="68"/>
      <c r="XH1" s="68"/>
      <c r="XI1" s="68"/>
      <c r="XJ1" s="68"/>
      <c r="XK1" s="68"/>
      <c r="XL1" s="68"/>
      <c r="XM1" s="68"/>
      <c r="XN1" s="68"/>
      <c r="XO1" s="68"/>
      <c r="XP1" s="68"/>
      <c r="XQ1" s="68"/>
      <c r="XR1" s="68"/>
      <c r="XS1" s="68"/>
      <c r="XT1" s="68"/>
      <c r="XU1" s="68"/>
      <c r="XV1" s="68"/>
      <c r="XW1" s="68"/>
      <c r="XX1" s="68"/>
      <c r="XY1" s="68"/>
      <c r="XZ1" s="68"/>
      <c r="YA1" s="68"/>
      <c r="YB1" s="68"/>
      <c r="YC1" s="68"/>
      <c r="YD1" s="68"/>
      <c r="YE1" s="68"/>
      <c r="YF1" s="68"/>
      <c r="YG1" s="68"/>
      <c r="YH1" s="68"/>
      <c r="YI1" s="68"/>
      <c r="YJ1" s="68"/>
      <c r="YK1" s="68"/>
      <c r="YL1" s="68"/>
      <c r="YM1" s="68"/>
      <c r="YN1" s="68"/>
      <c r="YO1" s="68"/>
      <c r="YP1" s="68"/>
      <c r="YQ1" s="68"/>
      <c r="YR1" s="68"/>
      <c r="YS1" s="68"/>
      <c r="YT1" s="68"/>
      <c r="YU1" s="68"/>
      <c r="YV1" s="68"/>
      <c r="YW1" s="68"/>
      <c r="YX1" s="68"/>
      <c r="YY1" s="68"/>
      <c r="YZ1" s="68"/>
      <c r="ZA1" s="68"/>
      <c r="ZB1" s="68"/>
      <c r="ZC1" s="68"/>
      <c r="ZD1" s="68"/>
      <c r="ZE1" s="68"/>
      <c r="ZF1" s="68"/>
      <c r="ZG1" s="68"/>
      <c r="ZH1" s="68"/>
      <c r="ZI1" s="68"/>
      <c r="ZJ1" s="68"/>
      <c r="ZK1" s="68"/>
      <c r="ZL1" s="68"/>
      <c r="ZM1" s="68"/>
      <c r="ZN1" s="68"/>
      <c r="ZO1" s="68"/>
      <c r="ZP1" s="68"/>
      <c r="ZQ1" s="68"/>
      <c r="ZR1" s="68"/>
      <c r="ZS1" s="68"/>
      <c r="ZT1" s="68"/>
      <c r="ZU1" s="68"/>
      <c r="ZV1" s="68"/>
      <c r="ZW1" s="68"/>
      <c r="ZX1" s="68"/>
      <c r="ZY1" s="68"/>
      <c r="ZZ1" s="68"/>
      <c r="AAA1" s="68"/>
      <c r="AAB1" s="68"/>
      <c r="AAC1" s="68"/>
      <c r="AAD1" s="68"/>
      <c r="AAE1" s="68"/>
      <c r="AAF1" s="68"/>
      <c r="AAG1" s="68"/>
      <c r="AAH1" s="68"/>
      <c r="AAI1" s="68"/>
      <c r="AAJ1" s="68"/>
      <c r="AAK1" s="68"/>
      <c r="AAL1" s="68"/>
      <c r="AAM1" s="68"/>
      <c r="AAN1" s="68"/>
      <c r="AAO1" s="68"/>
      <c r="AAP1" s="68"/>
      <c r="AAQ1" s="68"/>
      <c r="AAR1" s="68"/>
      <c r="AAS1" s="68"/>
      <c r="AAT1" s="68"/>
      <c r="AAU1" s="68"/>
      <c r="AAV1" s="68"/>
      <c r="AAW1" s="68"/>
      <c r="AAX1" s="68"/>
      <c r="AAY1" s="68"/>
      <c r="AAZ1" s="68"/>
      <c r="ABA1" s="68"/>
      <c r="ABB1" s="68"/>
      <c r="ABC1" s="68"/>
      <c r="ABD1" s="68"/>
      <c r="ABE1" s="68"/>
      <c r="ABF1" s="68"/>
      <c r="ABG1" s="68"/>
      <c r="ABH1" s="68"/>
      <c r="ABI1" s="68"/>
      <c r="ABJ1" s="68"/>
      <c r="ABK1" s="68"/>
      <c r="ABL1" s="68"/>
      <c r="ABM1" s="68"/>
      <c r="ABN1" s="68"/>
      <c r="ABO1" s="68"/>
      <c r="ABP1" s="68"/>
      <c r="ABQ1" s="68"/>
      <c r="ABR1" s="68"/>
      <c r="ABS1" s="68"/>
      <c r="ABT1" s="68"/>
      <c r="ABU1" s="68"/>
      <c r="ABV1" s="68"/>
      <c r="ABW1" s="68"/>
      <c r="ABX1" s="68"/>
      <c r="ABY1" s="68"/>
      <c r="ABZ1" s="68"/>
      <c r="ACA1" s="68"/>
      <c r="ACB1" s="68"/>
      <c r="ACC1" s="68"/>
      <c r="ACD1" s="68"/>
      <c r="ACE1" s="68"/>
      <c r="ACF1" s="68"/>
      <c r="ACG1" s="68"/>
      <c r="ACH1" s="68"/>
      <c r="ACI1" s="68"/>
      <c r="ACJ1" s="68"/>
      <c r="ACK1" s="68"/>
      <c r="ACL1" s="68"/>
      <c r="ACM1" s="68"/>
      <c r="ACN1" s="68"/>
      <c r="ACO1" s="68"/>
      <c r="ACP1" s="68"/>
      <c r="ACQ1" s="68"/>
      <c r="ACR1" s="68"/>
      <c r="ACS1" s="68"/>
      <c r="ACT1" s="68"/>
      <c r="ACU1" s="68"/>
      <c r="ACV1" s="68"/>
      <c r="ACW1" s="68"/>
      <c r="ACX1" s="68"/>
      <c r="ACY1" s="68"/>
      <c r="ACZ1" s="68"/>
      <c r="ADA1" s="68"/>
      <c r="ADB1" s="68"/>
      <c r="ADC1" s="68"/>
      <c r="ADD1" s="68"/>
      <c r="ADE1" s="68"/>
      <c r="ADF1" s="68"/>
      <c r="ADG1" s="68"/>
      <c r="ADH1" s="68"/>
      <c r="ADI1" s="68"/>
      <c r="ADJ1" s="68"/>
      <c r="ADK1" s="68"/>
      <c r="ADL1" s="68"/>
      <c r="ADM1" s="68"/>
      <c r="ADN1" s="68"/>
      <c r="ADO1" s="68"/>
      <c r="ADP1" s="68"/>
      <c r="ADQ1" s="68"/>
      <c r="ADR1" s="68"/>
      <c r="ADS1" s="68"/>
      <c r="ADT1" s="68"/>
      <c r="ADU1" s="68"/>
      <c r="ADV1" s="68"/>
      <c r="ADW1" s="68"/>
      <c r="ADX1" s="68"/>
      <c r="ADY1" s="68"/>
      <c r="ADZ1" s="68"/>
      <c r="AEA1" s="68"/>
      <c r="AEB1" s="68"/>
      <c r="AEC1" s="68"/>
      <c r="AED1" s="68"/>
      <c r="AEE1" s="68"/>
      <c r="AEF1" s="68"/>
      <c r="AEG1" s="68"/>
      <c r="AEH1" s="68"/>
      <c r="AEI1" s="68"/>
      <c r="AEJ1" s="68"/>
      <c r="AEK1" s="68"/>
      <c r="AEL1" s="68"/>
      <c r="AEM1" s="68"/>
      <c r="AEN1" s="68"/>
      <c r="AEO1" s="68"/>
      <c r="AEP1" s="68"/>
      <c r="AEQ1" s="68"/>
      <c r="AER1" s="68"/>
      <c r="AES1" s="68"/>
      <c r="AET1" s="68"/>
      <c r="AEU1" s="68"/>
      <c r="AEV1" s="68"/>
      <c r="AEW1" s="68"/>
      <c r="AEX1" s="68"/>
      <c r="AEY1" s="68"/>
      <c r="AEZ1" s="68"/>
      <c r="AFA1" s="68"/>
      <c r="AFB1" s="68"/>
      <c r="AFC1" s="68"/>
      <c r="AFD1" s="68"/>
      <c r="AFE1" s="68"/>
      <c r="AFF1" s="68"/>
      <c r="AFG1" s="68"/>
      <c r="AFH1" s="68"/>
      <c r="AFI1" s="68"/>
      <c r="AFJ1" s="68"/>
      <c r="AFK1" s="68"/>
      <c r="AFL1" s="68"/>
      <c r="AFM1" s="68"/>
      <c r="AFN1" s="68"/>
      <c r="AFO1" s="68"/>
      <c r="AFP1" s="68"/>
      <c r="AFQ1" s="68"/>
      <c r="AFR1" s="68"/>
      <c r="AFS1" s="68"/>
      <c r="AFT1" s="68"/>
      <c r="AFU1" s="68"/>
      <c r="AFV1" s="68"/>
      <c r="AFW1" s="68"/>
      <c r="AFX1" s="68"/>
      <c r="AFY1" s="68"/>
      <c r="AFZ1" s="68"/>
      <c r="AGA1" s="68"/>
      <c r="AGB1" s="68"/>
      <c r="AGC1" s="68"/>
      <c r="AGD1" s="68"/>
      <c r="AGE1" s="68"/>
      <c r="AGF1" s="68"/>
      <c r="AGG1" s="68"/>
      <c r="AGH1" s="68"/>
      <c r="AGI1" s="68"/>
      <c r="AGJ1" s="68"/>
      <c r="AGK1" s="68"/>
      <c r="AGL1" s="68"/>
      <c r="AGM1" s="68"/>
      <c r="AGN1" s="68"/>
      <c r="AGO1" s="68"/>
      <c r="AGP1" s="68"/>
      <c r="AGQ1" s="68"/>
      <c r="AGR1" s="68"/>
      <c r="AGS1" s="68"/>
      <c r="AGT1" s="68"/>
      <c r="AGU1" s="68"/>
      <c r="AGV1" s="68"/>
      <c r="AGW1" s="68"/>
      <c r="AGX1" s="68"/>
      <c r="AGY1" s="68"/>
      <c r="AGZ1" s="68"/>
      <c r="AHA1" s="68"/>
      <c r="AHB1" s="68"/>
      <c r="AHC1" s="68"/>
      <c r="AHD1" s="68"/>
      <c r="AHE1" s="68"/>
      <c r="AHF1" s="68"/>
      <c r="AHG1" s="68"/>
      <c r="AHH1" s="68"/>
      <c r="AHI1" s="68"/>
      <c r="AHJ1" s="68"/>
      <c r="AHK1" s="68"/>
      <c r="AHL1" s="68"/>
      <c r="AHM1" s="68"/>
      <c r="AHN1" s="68"/>
      <c r="AHO1" s="68"/>
      <c r="AHP1" s="68"/>
      <c r="AHQ1" s="68"/>
      <c r="AHR1" s="68"/>
      <c r="AHS1" s="68"/>
      <c r="AHT1" s="68"/>
      <c r="AHU1" s="68"/>
      <c r="AHV1" s="68"/>
      <c r="AHW1" s="68"/>
      <c r="AHX1" s="68"/>
      <c r="AHY1" s="68"/>
      <c r="AHZ1" s="68"/>
      <c r="AIA1" s="68"/>
      <c r="AIB1" s="68"/>
      <c r="AIC1" s="68"/>
      <c r="AID1" s="68"/>
      <c r="AIE1" s="68"/>
      <c r="AIF1" s="68"/>
      <c r="AIG1" s="68"/>
      <c r="AIH1" s="68"/>
      <c r="AII1" s="68"/>
      <c r="AIJ1" s="68"/>
      <c r="AIK1" s="68"/>
      <c r="AIL1" s="68"/>
      <c r="AIM1" s="68"/>
      <c r="AIN1" s="68"/>
      <c r="AIO1" s="68"/>
      <c r="AIP1" s="68"/>
      <c r="AIQ1" s="68"/>
      <c r="AIR1" s="68"/>
      <c r="AIS1" s="68"/>
      <c r="AIT1" s="68"/>
      <c r="AIU1" s="68"/>
      <c r="AIV1" s="68"/>
      <c r="AIW1" s="68"/>
      <c r="AIX1" s="68"/>
      <c r="AIY1" s="68"/>
      <c r="AIZ1" s="68"/>
      <c r="AJA1" s="68"/>
      <c r="AJB1" s="68"/>
      <c r="AJC1" s="68"/>
      <c r="AJD1" s="68"/>
      <c r="AJE1" s="68"/>
      <c r="AJF1" s="68"/>
      <c r="AJG1" s="68"/>
      <c r="AJH1" s="68"/>
      <c r="AJI1" s="68"/>
      <c r="AJJ1" s="68"/>
      <c r="AJK1" s="68"/>
      <c r="AJL1" s="68"/>
      <c r="AJM1" s="68"/>
      <c r="AJN1" s="68"/>
      <c r="AJO1" s="68"/>
      <c r="AJP1" s="68"/>
      <c r="AJQ1" s="68"/>
      <c r="AJR1" s="68"/>
      <c r="AJS1" s="68"/>
      <c r="AJT1" s="68"/>
      <c r="AJU1" s="68"/>
      <c r="AJV1" s="68"/>
      <c r="AJW1" s="68"/>
      <c r="AJX1" s="68"/>
      <c r="AJY1" s="68"/>
      <c r="AJZ1" s="68"/>
      <c r="AKA1" s="68"/>
      <c r="AKB1" s="68"/>
      <c r="AKC1" s="68"/>
      <c r="AKD1" s="68"/>
      <c r="AKE1" s="68"/>
      <c r="AKF1" s="68"/>
      <c r="AKG1" s="68"/>
      <c r="AKH1" s="68"/>
      <c r="AKI1" s="68"/>
      <c r="AKJ1" s="68"/>
      <c r="AKK1" s="68"/>
      <c r="AKL1" s="68"/>
      <c r="AKM1" s="68"/>
      <c r="AKN1" s="68"/>
      <c r="AKO1" s="68"/>
      <c r="AKP1" s="68"/>
      <c r="AKQ1" s="68"/>
      <c r="AKR1" s="68"/>
      <c r="AKS1" s="68"/>
      <c r="AKT1" s="68"/>
      <c r="AKU1" s="68"/>
      <c r="AKV1" s="68"/>
      <c r="AKW1" s="68"/>
      <c r="AKX1" s="68"/>
      <c r="AKY1" s="68"/>
      <c r="AKZ1" s="68"/>
      <c r="ALA1" s="68"/>
      <c r="ALB1" s="68"/>
      <c r="ALC1" s="68"/>
      <c r="ALD1" s="68"/>
      <c r="ALE1" s="68"/>
      <c r="ALF1" s="68"/>
      <c r="ALG1" s="68"/>
      <c r="ALH1" s="68"/>
      <c r="ALI1" s="68"/>
      <c r="ALJ1" s="68"/>
      <c r="ALK1" s="68"/>
      <c r="ALL1" s="68"/>
      <c r="ALM1" s="68"/>
      <c r="ALN1" s="68"/>
      <c r="ALO1" s="68"/>
      <c r="ALP1" s="68"/>
      <c r="ALQ1" s="68"/>
      <c r="ALR1" s="68"/>
      <c r="ALS1" s="68"/>
      <c r="ALT1" s="68"/>
      <c r="ALU1" s="68"/>
      <c r="ALV1" s="68"/>
      <c r="ALW1" s="68"/>
      <c r="ALX1" s="68"/>
      <c r="ALY1" s="68"/>
      <c r="ALZ1" s="68"/>
      <c r="AMA1" s="68"/>
      <c r="AMB1" s="68"/>
      <c r="AMC1" s="68"/>
      <c r="AMD1" s="68"/>
      <c r="AME1" s="68"/>
      <c r="AMF1" s="68"/>
      <c r="AMG1" s="68"/>
      <c r="AMH1" s="68"/>
      <c r="AMI1" s="68"/>
      <c r="AMJ1" s="68"/>
      <c r="AMK1" s="68"/>
      <c r="AML1" s="68"/>
      <c r="AMM1" s="68"/>
      <c r="AMN1" s="68"/>
      <c r="AMO1" s="68"/>
      <c r="AMP1" s="68"/>
      <c r="AMQ1" s="68"/>
      <c r="AMR1" s="68"/>
      <c r="AMS1" s="68"/>
      <c r="AMT1" s="68"/>
      <c r="AMU1" s="68"/>
      <c r="AMV1" s="68"/>
      <c r="AMW1" s="68"/>
      <c r="AMX1" s="68"/>
      <c r="AMY1" s="68"/>
      <c r="AMZ1" s="68"/>
      <c r="ANA1" s="68"/>
      <c r="ANB1" s="68"/>
      <c r="ANC1" s="68"/>
      <c r="AND1" s="68"/>
      <c r="ANE1" s="68"/>
      <c r="ANF1" s="68"/>
    </row>
    <row r="2" spans="1:1046" ht="27" customHeight="1" x14ac:dyDescent="0.35">
      <c r="A2" s="68"/>
      <c r="B2" s="398" t="s">
        <v>0</v>
      </c>
      <c r="C2" s="398" t="s">
        <v>1</v>
      </c>
      <c r="D2" s="398" t="s">
        <v>2</v>
      </c>
      <c r="E2" s="398" t="s">
        <v>3</v>
      </c>
      <c r="F2" s="399" t="s">
        <v>4</v>
      </c>
      <c r="G2" s="398" t="s">
        <v>5</v>
      </c>
      <c r="H2" s="396" t="s">
        <v>6</v>
      </c>
      <c r="I2" s="396"/>
      <c r="J2" s="396"/>
      <c r="K2" s="396"/>
      <c r="L2" s="398" t="s">
        <v>7</v>
      </c>
      <c r="M2" s="398"/>
      <c r="N2" s="398"/>
      <c r="O2" s="398"/>
      <c r="P2" s="398" t="s">
        <v>8</v>
      </c>
      <c r="Q2" s="398"/>
      <c r="R2" s="398"/>
      <c r="S2" s="398"/>
      <c r="T2" s="398" t="s">
        <v>9</v>
      </c>
      <c r="U2" s="398"/>
      <c r="V2" s="398"/>
      <c r="W2" s="398"/>
      <c r="X2" s="237" t="s">
        <v>10</v>
      </c>
      <c r="Y2" s="237"/>
      <c r="Z2" s="237"/>
      <c r="AA2" s="237"/>
      <c r="AB2" s="237"/>
      <c r="AC2" s="237" t="s">
        <v>11</v>
      </c>
      <c r="AD2" s="237"/>
      <c r="AE2" s="237"/>
      <c r="AF2" s="237"/>
      <c r="AG2" s="237" t="s">
        <v>12</v>
      </c>
      <c r="AH2" s="237"/>
      <c r="AI2" s="237"/>
      <c r="AJ2" s="237"/>
      <c r="AK2" s="237" t="s">
        <v>13</v>
      </c>
      <c r="AL2" s="237"/>
      <c r="AM2" s="237"/>
      <c r="AN2" s="237"/>
      <c r="AO2" s="237"/>
      <c r="AP2" s="237" t="s">
        <v>14</v>
      </c>
      <c r="AQ2" s="237"/>
      <c r="AR2" s="237"/>
      <c r="AS2" s="237"/>
      <c r="AT2" s="237" t="s">
        <v>15</v>
      </c>
      <c r="AU2" s="237"/>
      <c r="AV2" s="237"/>
      <c r="AW2" s="237"/>
      <c r="AX2" s="237"/>
      <c r="AY2" s="237" t="s">
        <v>16</v>
      </c>
      <c r="AZ2" s="237"/>
      <c r="BA2" s="237"/>
      <c r="BB2" s="237"/>
      <c r="BC2" s="236" t="s">
        <v>17</v>
      </c>
      <c r="BD2" s="237"/>
      <c r="BE2" s="237"/>
      <c r="BF2" s="237"/>
      <c r="BG2" s="235" t="s">
        <v>6</v>
      </c>
      <c r="BH2" s="235"/>
      <c r="BI2" s="235"/>
      <c r="BJ2" s="235"/>
      <c r="BK2" s="236"/>
      <c r="BL2" s="396" t="s">
        <v>18</v>
      </c>
      <c r="BM2" s="396"/>
      <c r="BN2" s="396"/>
      <c r="BO2" s="396"/>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c r="CY2" s="68"/>
      <c r="CZ2" s="68"/>
      <c r="DA2" s="68"/>
      <c r="DB2" s="68"/>
      <c r="DC2" s="68"/>
      <c r="DD2" s="68"/>
      <c r="DE2" s="68"/>
      <c r="DF2" s="68"/>
      <c r="DG2" s="68"/>
      <c r="DH2" s="68"/>
      <c r="DI2" s="68"/>
      <c r="DJ2" s="68"/>
      <c r="DK2" s="68"/>
      <c r="DL2" s="68"/>
      <c r="DM2" s="68"/>
      <c r="DN2" s="68"/>
      <c r="DO2" s="68"/>
      <c r="DP2" s="68"/>
      <c r="DQ2" s="68"/>
      <c r="DR2" s="68"/>
      <c r="DS2" s="68"/>
      <c r="DT2" s="68"/>
      <c r="DU2" s="68"/>
      <c r="DV2" s="68"/>
      <c r="DW2" s="68"/>
      <c r="DX2" s="68"/>
      <c r="DY2" s="68"/>
      <c r="DZ2" s="68"/>
      <c r="EA2" s="68"/>
      <c r="EB2" s="68"/>
      <c r="EC2" s="68"/>
      <c r="ED2" s="68"/>
      <c r="EE2" s="68"/>
      <c r="EF2" s="68"/>
      <c r="EG2" s="68"/>
      <c r="EH2" s="68"/>
      <c r="EI2" s="68"/>
      <c r="EJ2" s="68"/>
      <c r="EK2" s="68"/>
      <c r="EL2" s="68"/>
      <c r="EM2" s="68"/>
      <c r="EN2" s="68"/>
      <c r="EO2" s="68"/>
      <c r="EP2" s="68"/>
      <c r="EQ2" s="68"/>
      <c r="ER2" s="68"/>
      <c r="ES2" s="68"/>
      <c r="ET2" s="68"/>
      <c r="EU2" s="68"/>
      <c r="EV2" s="68"/>
      <c r="EW2" s="68"/>
      <c r="EX2" s="68"/>
      <c r="EY2" s="68"/>
      <c r="EZ2" s="68"/>
      <c r="FA2" s="68"/>
      <c r="FB2" s="68"/>
      <c r="FC2" s="68"/>
      <c r="FD2" s="68"/>
      <c r="FE2" s="68"/>
      <c r="FF2" s="68"/>
      <c r="FG2" s="68"/>
      <c r="FH2" s="68"/>
      <c r="FI2" s="68"/>
      <c r="FJ2" s="68"/>
      <c r="FK2" s="68"/>
      <c r="FL2" s="68"/>
      <c r="FM2" s="68"/>
      <c r="FN2" s="68"/>
      <c r="FO2" s="68"/>
      <c r="FP2" s="68"/>
      <c r="FQ2" s="68"/>
      <c r="FR2" s="68"/>
      <c r="FS2" s="68"/>
      <c r="FT2" s="68"/>
      <c r="FU2" s="68"/>
      <c r="FV2" s="68"/>
      <c r="FW2" s="68"/>
      <c r="FX2" s="68"/>
      <c r="FY2" s="68"/>
      <c r="FZ2" s="68"/>
      <c r="GA2" s="68"/>
      <c r="GB2" s="68"/>
      <c r="GC2" s="68"/>
      <c r="GD2" s="68"/>
      <c r="GE2" s="68"/>
      <c r="GF2" s="68"/>
      <c r="GG2" s="68"/>
      <c r="GH2" s="68"/>
      <c r="GI2" s="68"/>
      <c r="GJ2" s="68"/>
      <c r="GK2" s="68"/>
      <c r="GL2" s="68"/>
      <c r="GM2" s="68"/>
      <c r="GN2" s="68"/>
      <c r="GO2" s="68"/>
      <c r="GP2" s="68"/>
      <c r="GQ2" s="68"/>
      <c r="GR2" s="68"/>
      <c r="GS2" s="68"/>
      <c r="GT2" s="68"/>
      <c r="GU2" s="68"/>
      <c r="GV2" s="68"/>
      <c r="GW2" s="68"/>
      <c r="GX2" s="68"/>
      <c r="GY2" s="68"/>
      <c r="GZ2" s="68"/>
      <c r="HA2" s="68"/>
      <c r="HB2" s="68"/>
      <c r="HC2" s="68"/>
      <c r="HD2" s="68"/>
      <c r="HE2" s="68"/>
      <c r="HF2" s="68"/>
      <c r="HG2" s="68"/>
      <c r="HH2" s="68"/>
      <c r="HI2" s="68"/>
      <c r="HJ2" s="68"/>
      <c r="HK2" s="68"/>
      <c r="HL2" s="68"/>
      <c r="HM2" s="68"/>
      <c r="HN2" s="68"/>
      <c r="HO2" s="68"/>
      <c r="HP2" s="68"/>
      <c r="HQ2" s="68"/>
      <c r="HR2" s="68"/>
      <c r="HS2" s="68"/>
      <c r="HT2" s="68"/>
      <c r="HU2" s="68"/>
      <c r="HV2" s="68"/>
      <c r="HW2" s="68"/>
      <c r="HX2" s="68"/>
      <c r="HY2" s="68"/>
      <c r="HZ2" s="68"/>
      <c r="IA2" s="68"/>
      <c r="IB2" s="68"/>
      <c r="IC2" s="68"/>
      <c r="ID2" s="68"/>
      <c r="IE2" s="68"/>
      <c r="IF2" s="68"/>
      <c r="IG2" s="68"/>
      <c r="IH2" s="68"/>
      <c r="II2" s="68"/>
      <c r="IJ2" s="68"/>
      <c r="IK2" s="68"/>
      <c r="IL2" s="68"/>
      <c r="IM2" s="68"/>
      <c r="IN2" s="68"/>
      <c r="IO2" s="68"/>
      <c r="IP2" s="68"/>
      <c r="IQ2" s="68"/>
      <c r="IR2" s="68"/>
      <c r="IS2" s="68"/>
      <c r="IT2" s="68"/>
      <c r="IU2" s="68"/>
      <c r="IV2" s="68"/>
      <c r="IW2" s="68"/>
      <c r="IX2" s="68"/>
      <c r="IY2" s="68"/>
      <c r="IZ2" s="68"/>
      <c r="JA2" s="68"/>
      <c r="JB2" s="68"/>
      <c r="JC2" s="68"/>
      <c r="JD2" s="68"/>
      <c r="JE2" s="68"/>
      <c r="JF2" s="68"/>
      <c r="JG2" s="68"/>
      <c r="JH2" s="68"/>
      <c r="JI2" s="68"/>
      <c r="JJ2" s="68"/>
      <c r="JK2" s="68"/>
      <c r="JL2" s="68"/>
      <c r="JM2" s="68"/>
      <c r="JN2" s="68"/>
      <c r="JO2" s="68"/>
      <c r="JP2" s="68"/>
      <c r="JQ2" s="68"/>
      <c r="JR2" s="68"/>
      <c r="JS2" s="68"/>
      <c r="JT2" s="68"/>
      <c r="JU2" s="68"/>
      <c r="JV2" s="68"/>
      <c r="JW2" s="68"/>
      <c r="JX2" s="68"/>
      <c r="JY2" s="68"/>
      <c r="JZ2" s="68"/>
      <c r="KA2" s="68"/>
      <c r="KB2" s="68"/>
      <c r="KC2" s="68"/>
      <c r="KD2" s="68"/>
      <c r="KE2" s="68"/>
      <c r="KF2" s="68"/>
      <c r="KG2" s="68"/>
      <c r="KH2" s="68"/>
      <c r="KI2" s="68"/>
      <c r="KJ2" s="68"/>
      <c r="KK2" s="68"/>
      <c r="KL2" s="68"/>
      <c r="KM2" s="68"/>
      <c r="KN2" s="68"/>
      <c r="KO2" s="68"/>
      <c r="KP2" s="68"/>
      <c r="KQ2" s="68"/>
      <c r="KR2" s="68"/>
      <c r="KS2" s="68"/>
      <c r="KT2" s="68"/>
      <c r="KU2" s="68"/>
      <c r="KV2" s="68"/>
      <c r="KW2" s="68"/>
      <c r="KX2" s="68"/>
      <c r="KY2" s="68"/>
      <c r="KZ2" s="68"/>
      <c r="LA2" s="68"/>
      <c r="LB2" s="68"/>
      <c r="LC2" s="68"/>
      <c r="LD2" s="68"/>
      <c r="LE2" s="68"/>
      <c r="LF2" s="68"/>
      <c r="LG2" s="68"/>
      <c r="LH2" s="68"/>
      <c r="LI2" s="68"/>
      <c r="LJ2" s="68"/>
      <c r="LK2" s="68"/>
      <c r="LL2" s="68"/>
      <c r="LM2" s="68"/>
      <c r="LN2" s="68"/>
      <c r="LO2" s="68"/>
      <c r="LP2" s="68"/>
      <c r="LQ2" s="68"/>
      <c r="LR2" s="68"/>
      <c r="LS2" s="68"/>
      <c r="LT2" s="68"/>
      <c r="LU2" s="68"/>
      <c r="LV2" s="68"/>
      <c r="LW2" s="68"/>
      <c r="LX2" s="68"/>
      <c r="LY2" s="68"/>
      <c r="LZ2" s="68"/>
      <c r="MA2" s="68"/>
      <c r="MB2" s="68"/>
      <c r="MC2" s="68"/>
      <c r="MD2" s="68"/>
      <c r="ME2" s="68"/>
      <c r="MF2" s="68"/>
      <c r="MG2" s="68"/>
      <c r="MH2" s="68"/>
      <c r="MI2" s="68"/>
      <c r="MJ2" s="68"/>
      <c r="MK2" s="68"/>
      <c r="ML2" s="68"/>
      <c r="MM2" s="68"/>
      <c r="MN2" s="68"/>
      <c r="MO2" s="68"/>
      <c r="MP2" s="68"/>
      <c r="MQ2" s="68"/>
      <c r="MR2" s="68"/>
      <c r="MS2" s="68"/>
      <c r="MT2" s="68"/>
      <c r="MU2" s="68"/>
      <c r="MV2" s="68"/>
      <c r="MW2" s="68"/>
      <c r="MX2" s="68"/>
      <c r="MY2" s="68"/>
      <c r="MZ2" s="68"/>
      <c r="NA2" s="68"/>
      <c r="NB2" s="68"/>
      <c r="NC2" s="68"/>
      <c r="ND2" s="68"/>
      <c r="NE2" s="68"/>
      <c r="NF2" s="68"/>
      <c r="NG2" s="68"/>
      <c r="NH2" s="68"/>
      <c r="NI2" s="68"/>
      <c r="NJ2" s="68"/>
      <c r="NK2" s="68"/>
      <c r="NL2" s="68"/>
      <c r="NM2" s="68"/>
      <c r="NN2" s="68"/>
      <c r="NO2" s="68"/>
      <c r="NP2" s="68"/>
      <c r="NQ2" s="68"/>
      <c r="NR2" s="68"/>
      <c r="NS2" s="68"/>
      <c r="NT2" s="68"/>
      <c r="NU2" s="68"/>
      <c r="NV2" s="68"/>
      <c r="NW2" s="68"/>
      <c r="NX2" s="68"/>
      <c r="NY2" s="68"/>
      <c r="NZ2" s="68"/>
      <c r="OA2" s="68"/>
      <c r="OB2" s="68"/>
      <c r="OC2" s="68"/>
      <c r="OD2" s="68"/>
      <c r="OE2" s="68"/>
      <c r="OF2" s="68"/>
      <c r="OG2" s="68"/>
      <c r="OH2" s="68"/>
      <c r="OI2" s="68"/>
      <c r="OJ2" s="68"/>
      <c r="OK2" s="68"/>
      <c r="OL2" s="68"/>
      <c r="OM2" s="68"/>
      <c r="ON2" s="68"/>
      <c r="OO2" s="68"/>
      <c r="OP2" s="68"/>
      <c r="OQ2" s="68"/>
      <c r="OR2" s="68"/>
      <c r="OS2" s="68"/>
      <c r="OT2" s="68"/>
      <c r="OU2" s="68"/>
      <c r="OV2" s="68"/>
      <c r="OW2" s="68"/>
      <c r="OX2" s="68"/>
      <c r="OY2" s="68"/>
      <c r="OZ2" s="68"/>
      <c r="PA2" s="68"/>
      <c r="PB2" s="68"/>
      <c r="PC2" s="68"/>
      <c r="PD2" s="68"/>
      <c r="PE2" s="68"/>
      <c r="PF2" s="68"/>
      <c r="PG2" s="68"/>
      <c r="PH2" s="68"/>
      <c r="PI2" s="68"/>
      <c r="PJ2" s="68"/>
      <c r="PK2" s="68"/>
      <c r="PL2" s="68"/>
      <c r="PM2" s="68"/>
      <c r="PN2" s="68"/>
      <c r="PO2" s="68"/>
      <c r="PP2" s="68"/>
      <c r="PQ2" s="68"/>
      <c r="PR2" s="68"/>
      <c r="PS2" s="68"/>
      <c r="PT2" s="68"/>
      <c r="PU2" s="68"/>
      <c r="PV2" s="68"/>
      <c r="PW2" s="68"/>
      <c r="PX2" s="68"/>
      <c r="PY2" s="68"/>
      <c r="PZ2" s="68"/>
      <c r="QA2" s="68"/>
      <c r="QB2" s="68"/>
      <c r="QC2" s="68"/>
      <c r="QD2" s="68"/>
      <c r="QE2" s="68"/>
      <c r="QF2" s="68"/>
      <c r="QG2" s="68"/>
      <c r="QH2" s="68"/>
      <c r="QI2" s="68"/>
      <c r="QJ2" s="68"/>
      <c r="QK2" s="68"/>
      <c r="QL2" s="68"/>
      <c r="QM2" s="68"/>
      <c r="QN2" s="68"/>
      <c r="QO2" s="68"/>
      <c r="QP2" s="68"/>
      <c r="QQ2" s="68"/>
      <c r="QR2" s="68"/>
      <c r="QS2" s="68"/>
      <c r="QT2" s="68"/>
      <c r="QU2" s="68"/>
      <c r="QV2" s="68"/>
      <c r="QW2" s="68"/>
      <c r="QX2" s="68"/>
      <c r="QY2" s="68"/>
      <c r="QZ2" s="68"/>
      <c r="RA2" s="68"/>
      <c r="RB2" s="68"/>
      <c r="RC2" s="68"/>
      <c r="RD2" s="68"/>
      <c r="RE2" s="68"/>
      <c r="RF2" s="68"/>
      <c r="RG2" s="68"/>
      <c r="RH2" s="68"/>
      <c r="RI2" s="68"/>
      <c r="RJ2" s="68"/>
      <c r="RK2" s="68"/>
      <c r="RL2" s="68"/>
      <c r="RM2" s="68"/>
      <c r="RN2" s="68"/>
      <c r="RO2" s="68"/>
      <c r="RP2" s="68"/>
      <c r="RQ2" s="68"/>
      <c r="RR2" s="68"/>
      <c r="RS2" s="68"/>
      <c r="RT2" s="68"/>
      <c r="RU2" s="68"/>
      <c r="RV2" s="68"/>
      <c r="RW2" s="68"/>
      <c r="RX2" s="68"/>
      <c r="RY2" s="68"/>
      <c r="RZ2" s="68"/>
      <c r="SA2" s="68"/>
      <c r="SB2" s="68"/>
      <c r="SC2" s="68"/>
      <c r="SD2" s="68"/>
      <c r="SE2" s="68"/>
      <c r="SF2" s="68"/>
      <c r="SG2" s="68"/>
      <c r="SH2" s="68"/>
      <c r="SI2" s="68"/>
      <c r="SJ2" s="68"/>
      <c r="SK2" s="68"/>
      <c r="SL2" s="68"/>
      <c r="SM2" s="68"/>
      <c r="SN2" s="68"/>
      <c r="SO2" s="68"/>
      <c r="SP2" s="68"/>
      <c r="SQ2" s="68"/>
      <c r="SR2" s="68"/>
      <c r="SS2" s="68"/>
      <c r="ST2" s="68"/>
      <c r="SU2" s="68"/>
      <c r="SV2" s="68"/>
      <c r="SW2" s="68"/>
      <c r="SX2" s="68"/>
      <c r="SY2" s="68"/>
      <c r="SZ2" s="68"/>
      <c r="TA2" s="68"/>
      <c r="TB2" s="68"/>
      <c r="TC2" s="68"/>
      <c r="TD2" s="68"/>
      <c r="TE2" s="68"/>
      <c r="TF2" s="68"/>
      <c r="TG2" s="68"/>
      <c r="TH2" s="68"/>
      <c r="TI2" s="68"/>
      <c r="TJ2" s="68"/>
      <c r="TK2" s="68"/>
      <c r="TL2" s="68"/>
      <c r="TM2" s="68"/>
      <c r="TN2" s="68"/>
      <c r="TO2" s="68"/>
      <c r="TP2" s="68"/>
      <c r="TQ2" s="68"/>
      <c r="TR2" s="68"/>
      <c r="TS2" s="68"/>
      <c r="TT2" s="68"/>
      <c r="TU2" s="68"/>
      <c r="TV2" s="68"/>
      <c r="TW2" s="68"/>
      <c r="TX2" s="68"/>
      <c r="TY2" s="68"/>
      <c r="TZ2" s="68"/>
      <c r="UA2" s="68"/>
      <c r="UB2" s="68"/>
      <c r="UC2" s="68"/>
      <c r="UD2" s="68"/>
      <c r="UE2" s="68"/>
      <c r="UF2" s="68"/>
      <c r="UG2" s="68"/>
      <c r="UH2" s="68"/>
      <c r="UI2" s="68"/>
      <c r="UJ2" s="68"/>
      <c r="UK2" s="68"/>
      <c r="UL2" s="68"/>
      <c r="UM2" s="68"/>
      <c r="UN2" s="68"/>
      <c r="UO2" s="68"/>
      <c r="UP2" s="68"/>
      <c r="UQ2" s="68"/>
      <c r="UR2" s="68"/>
      <c r="US2" s="68"/>
      <c r="UT2" s="68"/>
      <c r="UU2" s="68"/>
      <c r="UV2" s="68"/>
      <c r="UW2" s="68"/>
      <c r="UX2" s="68"/>
      <c r="UY2" s="68"/>
      <c r="UZ2" s="68"/>
      <c r="VA2" s="68"/>
      <c r="VB2" s="68"/>
      <c r="VC2" s="68"/>
      <c r="VD2" s="68"/>
      <c r="VE2" s="68"/>
      <c r="VF2" s="68"/>
      <c r="VG2" s="68"/>
      <c r="VH2" s="68"/>
      <c r="VI2" s="68"/>
      <c r="VJ2" s="68"/>
      <c r="VK2" s="68"/>
      <c r="VL2" s="68"/>
      <c r="VM2" s="68"/>
      <c r="VN2" s="68"/>
      <c r="VO2" s="68"/>
      <c r="VP2" s="68"/>
      <c r="VQ2" s="68"/>
      <c r="VR2" s="68"/>
      <c r="VS2" s="68"/>
      <c r="VT2" s="68"/>
      <c r="VU2" s="68"/>
      <c r="VV2" s="68"/>
      <c r="VW2" s="68"/>
      <c r="VX2" s="68"/>
      <c r="VY2" s="68"/>
      <c r="VZ2" s="68"/>
      <c r="WA2" s="68"/>
      <c r="WB2" s="68"/>
      <c r="WC2" s="68"/>
      <c r="WD2" s="68"/>
      <c r="WE2" s="68"/>
      <c r="WF2" s="68"/>
      <c r="WG2" s="68"/>
      <c r="WH2" s="68"/>
      <c r="WI2" s="68"/>
      <c r="WJ2" s="68"/>
      <c r="WK2" s="68"/>
      <c r="WL2" s="68"/>
      <c r="WM2" s="68"/>
      <c r="WN2" s="68"/>
      <c r="WO2" s="68"/>
      <c r="WP2" s="68"/>
      <c r="WQ2" s="68"/>
      <c r="WR2" s="68"/>
      <c r="WS2" s="68"/>
      <c r="WT2" s="68"/>
      <c r="WU2" s="68"/>
      <c r="WV2" s="68"/>
      <c r="WW2" s="68"/>
      <c r="WX2" s="68"/>
      <c r="WY2" s="68"/>
      <c r="WZ2" s="68"/>
      <c r="XA2" s="68"/>
      <c r="XB2" s="68"/>
      <c r="XC2" s="68"/>
      <c r="XD2" s="68"/>
      <c r="XE2" s="68"/>
      <c r="XF2" s="68"/>
      <c r="XG2" s="68"/>
      <c r="XH2" s="68"/>
      <c r="XI2" s="68"/>
      <c r="XJ2" s="68"/>
      <c r="XK2" s="68"/>
      <c r="XL2" s="68"/>
      <c r="XM2" s="68"/>
      <c r="XN2" s="68"/>
      <c r="XO2" s="68"/>
      <c r="XP2" s="68"/>
      <c r="XQ2" s="68"/>
      <c r="XR2" s="68"/>
      <c r="XS2" s="68"/>
      <c r="XT2" s="68"/>
      <c r="XU2" s="68"/>
      <c r="XV2" s="68"/>
      <c r="XW2" s="68"/>
      <c r="XX2" s="68"/>
      <c r="XY2" s="68"/>
      <c r="XZ2" s="68"/>
      <c r="YA2" s="68"/>
      <c r="YB2" s="68"/>
      <c r="YC2" s="68"/>
      <c r="YD2" s="68"/>
      <c r="YE2" s="68"/>
      <c r="YF2" s="68"/>
      <c r="YG2" s="68"/>
      <c r="YH2" s="68"/>
      <c r="YI2" s="68"/>
      <c r="YJ2" s="68"/>
      <c r="YK2" s="68"/>
      <c r="YL2" s="68"/>
      <c r="YM2" s="68"/>
      <c r="YN2" s="68"/>
      <c r="YO2" s="68"/>
      <c r="YP2" s="68"/>
      <c r="YQ2" s="68"/>
      <c r="YR2" s="68"/>
      <c r="YS2" s="68"/>
      <c r="YT2" s="68"/>
      <c r="YU2" s="68"/>
      <c r="YV2" s="68"/>
      <c r="YW2" s="68"/>
      <c r="YX2" s="68"/>
      <c r="YY2" s="68"/>
      <c r="YZ2" s="68"/>
      <c r="ZA2" s="68"/>
      <c r="ZB2" s="68"/>
      <c r="ZC2" s="68"/>
      <c r="ZD2" s="68"/>
      <c r="ZE2" s="68"/>
      <c r="ZF2" s="68"/>
      <c r="ZG2" s="68"/>
      <c r="ZH2" s="68"/>
      <c r="ZI2" s="68"/>
      <c r="ZJ2" s="68"/>
      <c r="ZK2" s="68"/>
      <c r="ZL2" s="68"/>
      <c r="ZM2" s="68"/>
      <c r="ZN2" s="68"/>
      <c r="ZO2" s="68"/>
      <c r="ZP2" s="68"/>
      <c r="ZQ2" s="68"/>
      <c r="ZR2" s="68"/>
      <c r="ZS2" s="68"/>
      <c r="ZT2" s="68"/>
      <c r="ZU2" s="68"/>
      <c r="ZV2" s="68"/>
      <c r="ZW2" s="68"/>
      <c r="ZX2" s="68"/>
      <c r="ZY2" s="68"/>
      <c r="ZZ2" s="68"/>
      <c r="AAA2" s="68"/>
      <c r="AAB2" s="68"/>
      <c r="AAC2" s="68"/>
      <c r="AAD2" s="68"/>
      <c r="AAE2" s="68"/>
      <c r="AAF2" s="68"/>
      <c r="AAG2" s="68"/>
      <c r="AAH2" s="68"/>
      <c r="AAI2" s="68"/>
      <c r="AAJ2" s="68"/>
      <c r="AAK2" s="68"/>
      <c r="AAL2" s="68"/>
      <c r="AAM2" s="68"/>
      <c r="AAN2" s="68"/>
      <c r="AAO2" s="68"/>
      <c r="AAP2" s="68"/>
      <c r="AAQ2" s="68"/>
      <c r="AAR2" s="68"/>
      <c r="AAS2" s="68"/>
      <c r="AAT2" s="68"/>
      <c r="AAU2" s="68"/>
      <c r="AAV2" s="68"/>
      <c r="AAW2" s="68"/>
      <c r="AAX2" s="68"/>
      <c r="AAY2" s="68"/>
      <c r="AAZ2" s="68"/>
      <c r="ABA2" s="68"/>
      <c r="ABB2" s="68"/>
      <c r="ABC2" s="68"/>
      <c r="ABD2" s="68"/>
      <c r="ABE2" s="68"/>
      <c r="ABF2" s="68"/>
      <c r="ABG2" s="68"/>
      <c r="ABH2" s="68"/>
      <c r="ABI2" s="68"/>
      <c r="ABJ2" s="68"/>
      <c r="ABK2" s="68"/>
      <c r="ABL2" s="68"/>
      <c r="ABM2" s="68"/>
      <c r="ABN2" s="68"/>
      <c r="ABO2" s="68"/>
      <c r="ABP2" s="68"/>
      <c r="ABQ2" s="68"/>
      <c r="ABR2" s="68"/>
      <c r="ABS2" s="68"/>
      <c r="ABT2" s="68"/>
      <c r="ABU2" s="68"/>
      <c r="ABV2" s="68"/>
      <c r="ABW2" s="68"/>
      <c r="ABX2" s="68"/>
      <c r="ABY2" s="68"/>
      <c r="ABZ2" s="68"/>
      <c r="ACA2" s="68"/>
      <c r="ACB2" s="68"/>
      <c r="ACC2" s="68"/>
      <c r="ACD2" s="68"/>
      <c r="ACE2" s="68"/>
      <c r="ACF2" s="68"/>
      <c r="ACG2" s="68"/>
      <c r="ACH2" s="68"/>
      <c r="ACI2" s="68"/>
      <c r="ACJ2" s="68"/>
      <c r="ACK2" s="68"/>
      <c r="ACL2" s="68"/>
      <c r="ACM2" s="68"/>
      <c r="ACN2" s="68"/>
      <c r="ACO2" s="68"/>
      <c r="ACP2" s="68"/>
      <c r="ACQ2" s="68"/>
      <c r="ACR2" s="68"/>
      <c r="ACS2" s="68"/>
      <c r="ACT2" s="68"/>
      <c r="ACU2" s="68"/>
      <c r="ACV2" s="68"/>
      <c r="ACW2" s="68"/>
      <c r="ACX2" s="68"/>
      <c r="ACY2" s="68"/>
      <c r="ACZ2" s="68"/>
      <c r="ADA2" s="68"/>
      <c r="ADB2" s="68"/>
      <c r="ADC2" s="68"/>
      <c r="ADD2" s="68"/>
      <c r="ADE2" s="68"/>
      <c r="ADF2" s="68"/>
      <c r="ADG2" s="68"/>
      <c r="ADH2" s="68"/>
      <c r="ADI2" s="68"/>
      <c r="ADJ2" s="68"/>
      <c r="ADK2" s="68"/>
      <c r="ADL2" s="68"/>
      <c r="ADM2" s="68"/>
      <c r="ADN2" s="68"/>
      <c r="ADO2" s="68"/>
      <c r="ADP2" s="68"/>
      <c r="ADQ2" s="68"/>
      <c r="ADR2" s="68"/>
      <c r="ADS2" s="68"/>
      <c r="ADT2" s="68"/>
      <c r="ADU2" s="68"/>
      <c r="ADV2" s="68"/>
      <c r="ADW2" s="68"/>
      <c r="ADX2" s="68"/>
      <c r="ADY2" s="68"/>
      <c r="ADZ2" s="68"/>
      <c r="AEA2" s="68"/>
      <c r="AEB2" s="68"/>
      <c r="AEC2" s="68"/>
      <c r="AED2" s="68"/>
      <c r="AEE2" s="68"/>
      <c r="AEF2" s="68"/>
      <c r="AEG2" s="68"/>
      <c r="AEH2" s="68"/>
      <c r="AEI2" s="68"/>
      <c r="AEJ2" s="68"/>
      <c r="AEK2" s="68"/>
      <c r="AEL2" s="68"/>
      <c r="AEM2" s="68"/>
      <c r="AEN2" s="68"/>
      <c r="AEO2" s="68"/>
      <c r="AEP2" s="68"/>
      <c r="AEQ2" s="68"/>
      <c r="AER2" s="68"/>
      <c r="AES2" s="68"/>
      <c r="AET2" s="68"/>
      <c r="AEU2" s="68"/>
      <c r="AEV2" s="68"/>
      <c r="AEW2" s="68"/>
      <c r="AEX2" s="68"/>
      <c r="AEY2" s="68"/>
      <c r="AEZ2" s="68"/>
      <c r="AFA2" s="68"/>
      <c r="AFB2" s="68"/>
      <c r="AFC2" s="68"/>
      <c r="AFD2" s="68"/>
      <c r="AFE2" s="68"/>
      <c r="AFF2" s="68"/>
      <c r="AFG2" s="68"/>
      <c r="AFH2" s="68"/>
      <c r="AFI2" s="68"/>
      <c r="AFJ2" s="68"/>
      <c r="AFK2" s="68"/>
      <c r="AFL2" s="68"/>
      <c r="AFM2" s="68"/>
      <c r="AFN2" s="68"/>
      <c r="AFO2" s="68"/>
      <c r="AFP2" s="68"/>
      <c r="AFQ2" s="68"/>
      <c r="AFR2" s="68"/>
      <c r="AFS2" s="68"/>
      <c r="AFT2" s="68"/>
      <c r="AFU2" s="68"/>
      <c r="AFV2" s="68"/>
      <c r="AFW2" s="68"/>
      <c r="AFX2" s="68"/>
      <c r="AFY2" s="68"/>
      <c r="AFZ2" s="68"/>
      <c r="AGA2" s="68"/>
      <c r="AGB2" s="68"/>
      <c r="AGC2" s="68"/>
      <c r="AGD2" s="68"/>
      <c r="AGE2" s="68"/>
      <c r="AGF2" s="68"/>
      <c r="AGG2" s="68"/>
      <c r="AGH2" s="68"/>
      <c r="AGI2" s="68"/>
      <c r="AGJ2" s="68"/>
      <c r="AGK2" s="68"/>
      <c r="AGL2" s="68"/>
      <c r="AGM2" s="68"/>
      <c r="AGN2" s="68"/>
      <c r="AGO2" s="68"/>
      <c r="AGP2" s="68"/>
      <c r="AGQ2" s="68"/>
      <c r="AGR2" s="68"/>
      <c r="AGS2" s="68"/>
      <c r="AGT2" s="68"/>
      <c r="AGU2" s="68"/>
      <c r="AGV2" s="68"/>
      <c r="AGW2" s="68"/>
      <c r="AGX2" s="68"/>
      <c r="AGY2" s="68"/>
      <c r="AGZ2" s="68"/>
      <c r="AHA2" s="68"/>
      <c r="AHB2" s="68"/>
      <c r="AHC2" s="68"/>
      <c r="AHD2" s="68"/>
      <c r="AHE2" s="68"/>
      <c r="AHF2" s="68"/>
      <c r="AHG2" s="68"/>
      <c r="AHH2" s="68"/>
      <c r="AHI2" s="68"/>
      <c r="AHJ2" s="68"/>
      <c r="AHK2" s="68"/>
      <c r="AHL2" s="68"/>
      <c r="AHM2" s="68"/>
      <c r="AHN2" s="68"/>
      <c r="AHO2" s="68"/>
      <c r="AHP2" s="68"/>
      <c r="AHQ2" s="68"/>
      <c r="AHR2" s="68"/>
      <c r="AHS2" s="68"/>
      <c r="AHT2" s="68"/>
      <c r="AHU2" s="68"/>
      <c r="AHV2" s="68"/>
      <c r="AHW2" s="68"/>
      <c r="AHX2" s="68"/>
      <c r="AHY2" s="68"/>
      <c r="AHZ2" s="68"/>
      <c r="AIA2" s="68"/>
      <c r="AIB2" s="68"/>
      <c r="AIC2" s="68"/>
      <c r="AID2" s="68"/>
      <c r="AIE2" s="68"/>
      <c r="AIF2" s="68"/>
      <c r="AIG2" s="68"/>
      <c r="AIH2" s="68"/>
      <c r="AII2" s="68"/>
      <c r="AIJ2" s="68"/>
      <c r="AIK2" s="68"/>
      <c r="AIL2" s="68"/>
      <c r="AIM2" s="68"/>
      <c r="AIN2" s="68"/>
      <c r="AIO2" s="68"/>
      <c r="AIP2" s="68"/>
      <c r="AIQ2" s="68"/>
      <c r="AIR2" s="68"/>
      <c r="AIS2" s="68"/>
      <c r="AIT2" s="68"/>
      <c r="AIU2" s="68"/>
      <c r="AIV2" s="68"/>
      <c r="AIW2" s="68"/>
      <c r="AIX2" s="68"/>
      <c r="AIY2" s="68"/>
      <c r="AIZ2" s="68"/>
      <c r="AJA2" s="68"/>
      <c r="AJB2" s="68"/>
      <c r="AJC2" s="68"/>
      <c r="AJD2" s="68"/>
      <c r="AJE2" s="68"/>
      <c r="AJF2" s="68"/>
      <c r="AJG2" s="68"/>
      <c r="AJH2" s="68"/>
      <c r="AJI2" s="68"/>
      <c r="AJJ2" s="68"/>
      <c r="AJK2" s="68"/>
      <c r="AJL2" s="68"/>
      <c r="AJM2" s="68"/>
      <c r="AJN2" s="68"/>
      <c r="AJO2" s="68"/>
      <c r="AJP2" s="68"/>
      <c r="AJQ2" s="68"/>
      <c r="AJR2" s="68"/>
      <c r="AJS2" s="68"/>
      <c r="AJT2" s="68"/>
      <c r="AJU2" s="68"/>
      <c r="AJV2" s="68"/>
      <c r="AJW2" s="68"/>
      <c r="AJX2" s="68"/>
      <c r="AJY2" s="68"/>
      <c r="AJZ2" s="68"/>
      <c r="AKA2" s="68"/>
      <c r="AKB2" s="68"/>
      <c r="AKC2" s="68"/>
      <c r="AKD2" s="68"/>
      <c r="AKE2" s="68"/>
      <c r="AKF2" s="68"/>
      <c r="AKG2" s="68"/>
      <c r="AKH2" s="68"/>
      <c r="AKI2" s="68"/>
      <c r="AKJ2" s="68"/>
      <c r="AKK2" s="68"/>
      <c r="AKL2" s="68"/>
      <c r="AKM2" s="68"/>
      <c r="AKN2" s="68"/>
      <c r="AKO2" s="68"/>
      <c r="AKP2" s="68"/>
      <c r="AKQ2" s="68"/>
      <c r="AKR2" s="68"/>
      <c r="AKS2" s="68"/>
      <c r="AKT2" s="68"/>
      <c r="AKU2" s="68"/>
      <c r="AKV2" s="68"/>
      <c r="AKW2" s="68"/>
      <c r="AKX2" s="68"/>
      <c r="AKY2" s="68"/>
      <c r="AKZ2" s="68"/>
      <c r="ALA2" s="68"/>
      <c r="ALB2" s="68"/>
      <c r="ALC2" s="68"/>
      <c r="ALD2" s="68"/>
      <c r="ALE2" s="68"/>
      <c r="ALF2" s="68"/>
      <c r="ALG2" s="68"/>
      <c r="ALH2" s="68"/>
      <c r="ALI2" s="68"/>
      <c r="ALJ2" s="68"/>
      <c r="ALK2" s="68"/>
      <c r="ALL2" s="68"/>
      <c r="ALM2" s="68"/>
      <c r="ALN2" s="68"/>
      <c r="ALO2" s="68"/>
      <c r="ALP2" s="68"/>
      <c r="ALQ2" s="68"/>
      <c r="ALR2" s="68"/>
      <c r="ALS2" s="68"/>
      <c r="ALT2" s="68"/>
      <c r="ALU2" s="68"/>
      <c r="ALV2" s="68"/>
      <c r="ALW2" s="68"/>
      <c r="ALX2" s="68"/>
      <c r="ALY2" s="68"/>
      <c r="ALZ2" s="68"/>
      <c r="AMA2" s="68"/>
      <c r="AMB2" s="68"/>
      <c r="AMC2" s="68"/>
      <c r="AMD2" s="68"/>
      <c r="AME2" s="68"/>
      <c r="AMF2" s="68"/>
      <c r="AMG2" s="68"/>
      <c r="AMH2" s="68"/>
      <c r="AMI2" s="68"/>
      <c r="AMJ2" s="68"/>
      <c r="AMK2" s="68"/>
      <c r="AML2" s="68"/>
      <c r="AMM2" s="68"/>
      <c r="AMN2" s="68"/>
      <c r="AMO2" s="68"/>
      <c r="AMP2" s="68"/>
      <c r="AMQ2" s="68"/>
      <c r="AMR2" s="68"/>
      <c r="AMS2" s="68"/>
      <c r="AMT2" s="68"/>
      <c r="AMU2" s="68"/>
      <c r="AMV2" s="68"/>
      <c r="AMW2" s="68"/>
      <c r="AMX2" s="68"/>
      <c r="AMY2" s="68"/>
      <c r="AMZ2" s="68"/>
      <c r="ANA2" s="68"/>
      <c r="ANB2" s="68"/>
      <c r="ANC2" s="68"/>
      <c r="AND2" s="68"/>
      <c r="ANE2" s="68"/>
      <c r="ANF2" s="68"/>
    </row>
    <row r="3" spans="1:1046" s="160" customFormat="1" ht="30.75" customHeight="1" x14ac:dyDescent="0.35">
      <c r="A3" s="63"/>
      <c r="B3" s="398"/>
      <c r="C3" s="398"/>
      <c r="D3" s="398"/>
      <c r="E3" s="398"/>
      <c r="F3" s="399"/>
      <c r="G3" s="398"/>
      <c r="H3" s="50" t="s">
        <v>19</v>
      </c>
      <c r="I3" s="50" t="s">
        <v>244</v>
      </c>
      <c r="J3" s="50" t="s">
        <v>21</v>
      </c>
      <c r="K3" s="50" t="s">
        <v>22</v>
      </c>
      <c r="L3" s="50" t="s">
        <v>23</v>
      </c>
      <c r="M3" s="50" t="s">
        <v>24</v>
      </c>
      <c r="N3" s="50" t="s">
        <v>25</v>
      </c>
      <c r="O3" s="50" t="s">
        <v>26</v>
      </c>
      <c r="P3" s="50" t="s">
        <v>27</v>
      </c>
      <c r="Q3" s="50" t="s">
        <v>28</v>
      </c>
      <c r="R3" s="50" t="s">
        <v>29</v>
      </c>
      <c r="S3" s="50" t="s">
        <v>30</v>
      </c>
      <c r="T3" s="50" t="s">
        <v>31</v>
      </c>
      <c r="U3" s="50" t="s">
        <v>32</v>
      </c>
      <c r="V3" s="50" t="s">
        <v>33</v>
      </c>
      <c r="W3" s="50" t="s">
        <v>34</v>
      </c>
      <c r="X3" s="136" t="s">
        <v>35</v>
      </c>
      <c r="Y3" s="136" t="s">
        <v>36</v>
      </c>
      <c r="Z3" s="136" t="s">
        <v>37</v>
      </c>
      <c r="AA3" s="136" t="s">
        <v>38</v>
      </c>
      <c r="AB3" s="136" t="s">
        <v>39</v>
      </c>
      <c r="AC3" s="136" t="s">
        <v>40</v>
      </c>
      <c r="AD3" s="136" t="s">
        <v>41</v>
      </c>
      <c r="AE3" s="136" t="s">
        <v>42</v>
      </c>
      <c r="AF3" s="136" t="s">
        <v>43</v>
      </c>
      <c r="AG3" s="136" t="s">
        <v>44</v>
      </c>
      <c r="AH3" s="136" t="s">
        <v>631</v>
      </c>
      <c r="AI3" s="136" t="s">
        <v>46</v>
      </c>
      <c r="AJ3" s="136" t="s">
        <v>47</v>
      </c>
      <c r="AK3" s="136" t="s">
        <v>48</v>
      </c>
      <c r="AL3" s="136" t="s">
        <v>49</v>
      </c>
      <c r="AM3" s="136" t="s">
        <v>50</v>
      </c>
      <c r="AN3" s="136" t="s">
        <v>51</v>
      </c>
      <c r="AO3" s="136" t="s">
        <v>52</v>
      </c>
      <c r="AP3" s="136" t="s">
        <v>53</v>
      </c>
      <c r="AQ3" s="136" t="s">
        <v>54</v>
      </c>
      <c r="AR3" s="136" t="s">
        <v>55</v>
      </c>
      <c r="AS3" s="136" t="s">
        <v>56</v>
      </c>
      <c r="AT3" s="136" t="s">
        <v>57</v>
      </c>
      <c r="AU3" s="136" t="s">
        <v>58</v>
      </c>
      <c r="AV3" s="136" t="s">
        <v>59</v>
      </c>
      <c r="AW3" s="136" t="s">
        <v>1040</v>
      </c>
      <c r="AX3" s="136" t="s">
        <v>61</v>
      </c>
      <c r="AY3" s="188" t="s">
        <v>62</v>
      </c>
      <c r="AZ3" s="188" t="s">
        <v>63</v>
      </c>
      <c r="BA3" s="188" t="s">
        <v>64</v>
      </c>
      <c r="BB3" s="188" t="s">
        <v>65</v>
      </c>
      <c r="BC3" s="193" t="s">
        <v>66</v>
      </c>
      <c r="BD3" s="188" t="s">
        <v>67</v>
      </c>
      <c r="BE3" s="188" t="s">
        <v>68</v>
      </c>
      <c r="BF3" s="188" t="s">
        <v>69</v>
      </c>
      <c r="BG3" s="205" t="s">
        <v>70</v>
      </c>
      <c r="BH3" s="206" t="s">
        <v>71</v>
      </c>
      <c r="BI3" s="206" t="s">
        <v>72</v>
      </c>
      <c r="BJ3" s="206" t="s">
        <v>73</v>
      </c>
      <c r="BK3" s="206" t="s">
        <v>74</v>
      </c>
      <c r="BL3" s="70" t="s">
        <v>75</v>
      </c>
      <c r="BM3" s="70" t="s">
        <v>76</v>
      </c>
      <c r="BN3" s="70" t="s">
        <v>77</v>
      </c>
      <c r="BO3" s="70" t="s">
        <v>78</v>
      </c>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c r="JI3" s="63"/>
      <c r="JJ3" s="63"/>
      <c r="JK3" s="63"/>
      <c r="JL3" s="63"/>
      <c r="JM3" s="63"/>
      <c r="JN3" s="63"/>
      <c r="JO3" s="63"/>
      <c r="JP3" s="63"/>
      <c r="JQ3" s="63"/>
      <c r="JR3" s="63"/>
      <c r="JS3" s="63"/>
      <c r="JT3" s="63"/>
      <c r="JU3" s="63"/>
      <c r="JV3" s="63"/>
      <c r="JW3" s="63"/>
      <c r="JX3" s="63"/>
      <c r="JY3" s="63"/>
      <c r="JZ3" s="63"/>
      <c r="KA3" s="63"/>
      <c r="KB3" s="63"/>
      <c r="KC3" s="63"/>
      <c r="KD3" s="63"/>
      <c r="KE3" s="63"/>
      <c r="KF3" s="63"/>
      <c r="KG3" s="63"/>
      <c r="KH3" s="63"/>
      <c r="KI3" s="63"/>
      <c r="KJ3" s="63"/>
      <c r="KK3" s="63"/>
      <c r="KL3" s="63"/>
      <c r="KM3" s="63"/>
      <c r="KN3" s="63"/>
      <c r="KO3" s="63"/>
      <c r="KP3" s="63"/>
      <c r="KQ3" s="63"/>
      <c r="KR3" s="63"/>
      <c r="KS3" s="63"/>
      <c r="KT3" s="63"/>
      <c r="KU3" s="63"/>
      <c r="KV3" s="63"/>
      <c r="KW3" s="63"/>
      <c r="KX3" s="63"/>
      <c r="KY3" s="63"/>
      <c r="KZ3" s="63"/>
      <c r="LA3" s="63"/>
      <c r="LB3" s="63"/>
      <c r="LC3" s="63"/>
      <c r="LD3" s="63"/>
      <c r="LE3" s="63"/>
      <c r="LF3" s="63"/>
      <c r="LG3" s="63"/>
      <c r="LH3" s="63"/>
      <c r="LI3" s="63"/>
      <c r="LJ3" s="63"/>
      <c r="LK3" s="63"/>
      <c r="LL3" s="63"/>
      <c r="LM3" s="63"/>
      <c r="LN3" s="63"/>
      <c r="LO3" s="63"/>
      <c r="LP3" s="63"/>
      <c r="LQ3" s="63"/>
      <c r="LR3" s="63"/>
      <c r="LS3" s="63"/>
      <c r="LT3" s="63"/>
      <c r="LU3" s="63"/>
      <c r="LV3" s="63"/>
      <c r="LW3" s="63"/>
      <c r="LX3" s="63"/>
      <c r="LY3" s="63"/>
      <c r="LZ3" s="63"/>
      <c r="MA3" s="63"/>
      <c r="MB3" s="63"/>
      <c r="MC3" s="63"/>
      <c r="MD3" s="63"/>
      <c r="ME3" s="63"/>
      <c r="MF3" s="63"/>
      <c r="MG3" s="63"/>
      <c r="MH3" s="63"/>
      <c r="MI3" s="63"/>
      <c r="MJ3" s="63"/>
      <c r="MK3" s="63"/>
      <c r="ML3" s="63"/>
      <c r="MM3" s="63"/>
      <c r="MN3" s="63"/>
      <c r="MO3" s="63"/>
      <c r="MP3" s="63"/>
      <c r="MQ3" s="63"/>
      <c r="MR3" s="63"/>
      <c r="MS3" s="63"/>
      <c r="MT3" s="63"/>
      <c r="MU3" s="63"/>
      <c r="MV3" s="63"/>
      <c r="MW3" s="63"/>
      <c r="MX3" s="63"/>
      <c r="MY3" s="63"/>
      <c r="MZ3" s="63"/>
      <c r="NA3" s="63"/>
      <c r="NB3" s="63"/>
      <c r="NC3" s="63"/>
      <c r="ND3" s="63"/>
      <c r="NE3" s="63"/>
      <c r="NF3" s="63"/>
      <c r="NG3" s="63"/>
      <c r="NH3" s="63"/>
      <c r="NI3" s="63"/>
      <c r="NJ3" s="63"/>
      <c r="NK3" s="63"/>
      <c r="NL3" s="63"/>
      <c r="NM3" s="63"/>
      <c r="NN3" s="63"/>
      <c r="NO3" s="63"/>
      <c r="NP3" s="63"/>
      <c r="NQ3" s="63"/>
      <c r="NR3" s="63"/>
      <c r="NS3" s="63"/>
      <c r="NT3" s="63"/>
      <c r="NU3" s="63"/>
      <c r="NV3" s="63"/>
      <c r="NW3" s="63"/>
      <c r="NX3" s="63"/>
      <c r="NY3" s="63"/>
      <c r="NZ3" s="63"/>
      <c r="OA3" s="63"/>
      <c r="OB3" s="63"/>
      <c r="OC3" s="63"/>
      <c r="OD3" s="63"/>
      <c r="OE3" s="63"/>
      <c r="OF3" s="63"/>
      <c r="OG3" s="63"/>
      <c r="OH3" s="63"/>
      <c r="OI3" s="63"/>
      <c r="OJ3" s="63"/>
      <c r="OK3" s="63"/>
      <c r="OL3" s="63"/>
      <c r="OM3" s="63"/>
      <c r="ON3" s="63"/>
      <c r="OO3" s="63"/>
      <c r="OP3" s="63"/>
      <c r="OQ3" s="63"/>
      <c r="OR3" s="63"/>
      <c r="OS3" s="63"/>
      <c r="OT3" s="63"/>
      <c r="OU3" s="63"/>
      <c r="OV3" s="63"/>
      <c r="OW3" s="63"/>
      <c r="OX3" s="63"/>
      <c r="OY3" s="63"/>
      <c r="OZ3" s="63"/>
      <c r="PA3" s="63"/>
      <c r="PB3" s="63"/>
      <c r="PC3" s="63"/>
      <c r="PD3" s="63"/>
      <c r="PE3" s="63"/>
      <c r="PF3" s="63"/>
      <c r="PG3" s="63"/>
      <c r="PH3" s="63"/>
      <c r="PI3" s="63"/>
      <c r="PJ3" s="63"/>
      <c r="PK3" s="63"/>
      <c r="PL3" s="63"/>
      <c r="PM3" s="63"/>
      <c r="PN3" s="63"/>
      <c r="PO3" s="63"/>
      <c r="PP3" s="63"/>
      <c r="PQ3" s="63"/>
      <c r="PR3" s="63"/>
      <c r="PS3" s="63"/>
      <c r="PT3" s="63"/>
      <c r="PU3" s="63"/>
      <c r="PV3" s="63"/>
      <c r="PW3" s="63"/>
      <c r="PX3" s="63"/>
      <c r="PY3" s="63"/>
      <c r="PZ3" s="63"/>
      <c r="QA3" s="63"/>
      <c r="QB3" s="63"/>
      <c r="QC3" s="63"/>
      <c r="QD3" s="63"/>
      <c r="QE3" s="63"/>
      <c r="QF3" s="63"/>
      <c r="QG3" s="63"/>
      <c r="QH3" s="63"/>
      <c r="QI3" s="63"/>
      <c r="QJ3" s="63"/>
      <c r="QK3" s="63"/>
      <c r="QL3" s="63"/>
      <c r="QM3" s="63"/>
      <c r="QN3" s="63"/>
      <c r="QO3" s="63"/>
      <c r="QP3" s="63"/>
      <c r="QQ3" s="63"/>
      <c r="QR3" s="63"/>
      <c r="QS3" s="63"/>
      <c r="QT3" s="63"/>
      <c r="QU3" s="63"/>
      <c r="QV3" s="63"/>
      <c r="QW3" s="63"/>
      <c r="QX3" s="63"/>
      <c r="QY3" s="63"/>
      <c r="QZ3" s="63"/>
      <c r="RA3" s="63"/>
      <c r="RB3" s="63"/>
      <c r="RC3" s="63"/>
      <c r="RD3" s="63"/>
      <c r="RE3" s="63"/>
      <c r="RF3" s="63"/>
      <c r="RG3" s="63"/>
      <c r="RH3" s="63"/>
      <c r="RI3" s="63"/>
      <c r="RJ3" s="63"/>
      <c r="RK3" s="63"/>
      <c r="RL3" s="63"/>
      <c r="RM3" s="63"/>
      <c r="RN3" s="63"/>
      <c r="RO3" s="63"/>
      <c r="RP3" s="63"/>
      <c r="RQ3" s="63"/>
      <c r="RR3" s="63"/>
      <c r="RS3" s="63"/>
      <c r="RT3" s="63"/>
      <c r="RU3" s="63"/>
      <c r="RV3" s="63"/>
      <c r="RW3" s="63"/>
      <c r="RX3" s="63"/>
      <c r="RY3" s="63"/>
      <c r="RZ3" s="63"/>
      <c r="SA3" s="63"/>
      <c r="SB3" s="63"/>
      <c r="SC3" s="63"/>
      <c r="SD3" s="63"/>
      <c r="SE3" s="63"/>
      <c r="SF3" s="63"/>
      <c r="SG3" s="63"/>
      <c r="SH3" s="63"/>
      <c r="SI3" s="63"/>
      <c r="SJ3" s="63"/>
      <c r="SK3" s="63"/>
      <c r="SL3" s="63"/>
      <c r="SM3" s="63"/>
      <c r="SN3" s="63"/>
      <c r="SO3" s="63"/>
      <c r="SP3" s="63"/>
      <c r="SQ3" s="63"/>
      <c r="SR3" s="63"/>
      <c r="SS3" s="63"/>
      <c r="ST3" s="63"/>
      <c r="SU3" s="63"/>
      <c r="SV3" s="63"/>
      <c r="SW3" s="63"/>
      <c r="SX3" s="63"/>
      <c r="SY3" s="63"/>
      <c r="SZ3" s="63"/>
      <c r="TA3" s="63"/>
      <c r="TB3" s="63"/>
      <c r="TC3" s="63"/>
      <c r="TD3" s="63"/>
      <c r="TE3" s="63"/>
      <c r="TF3" s="63"/>
      <c r="TG3" s="63"/>
      <c r="TH3" s="63"/>
      <c r="TI3" s="63"/>
      <c r="TJ3" s="63"/>
      <c r="TK3" s="63"/>
      <c r="TL3" s="63"/>
      <c r="TM3" s="63"/>
      <c r="TN3" s="63"/>
      <c r="TO3" s="63"/>
      <c r="TP3" s="63"/>
      <c r="TQ3" s="63"/>
      <c r="TR3" s="63"/>
      <c r="TS3" s="63"/>
      <c r="TT3" s="63"/>
      <c r="TU3" s="63"/>
      <c r="TV3" s="63"/>
      <c r="TW3" s="63"/>
      <c r="TX3" s="63"/>
      <c r="TY3" s="63"/>
      <c r="TZ3" s="63"/>
      <c r="UA3" s="63"/>
      <c r="UB3" s="63"/>
      <c r="UC3" s="63"/>
      <c r="UD3" s="63"/>
      <c r="UE3" s="63"/>
      <c r="UF3" s="63"/>
      <c r="UG3" s="63"/>
      <c r="UH3" s="63"/>
      <c r="UI3" s="63"/>
      <c r="UJ3" s="63"/>
      <c r="UK3" s="63"/>
      <c r="UL3" s="63"/>
      <c r="UM3" s="63"/>
      <c r="UN3" s="63"/>
      <c r="UO3" s="63"/>
      <c r="UP3" s="63"/>
      <c r="UQ3" s="63"/>
      <c r="UR3" s="63"/>
      <c r="US3" s="63"/>
      <c r="UT3" s="63"/>
      <c r="UU3" s="63"/>
      <c r="UV3" s="63"/>
      <c r="UW3" s="63"/>
      <c r="UX3" s="63"/>
      <c r="UY3" s="63"/>
      <c r="UZ3" s="63"/>
      <c r="VA3" s="63"/>
      <c r="VB3" s="63"/>
      <c r="VC3" s="63"/>
      <c r="VD3" s="63"/>
      <c r="VE3" s="63"/>
      <c r="VF3" s="63"/>
      <c r="VG3" s="63"/>
      <c r="VH3" s="63"/>
      <c r="VI3" s="63"/>
      <c r="VJ3" s="63"/>
      <c r="VK3" s="63"/>
      <c r="VL3" s="63"/>
      <c r="VM3" s="63"/>
      <c r="VN3" s="63"/>
      <c r="VO3" s="63"/>
      <c r="VP3" s="63"/>
      <c r="VQ3" s="63"/>
      <c r="VR3" s="63"/>
      <c r="VS3" s="63"/>
      <c r="VT3" s="63"/>
      <c r="VU3" s="63"/>
      <c r="VV3" s="63"/>
      <c r="VW3" s="63"/>
      <c r="VX3" s="63"/>
      <c r="VY3" s="63"/>
      <c r="VZ3" s="63"/>
      <c r="WA3" s="63"/>
      <c r="WB3" s="63"/>
      <c r="WC3" s="63"/>
      <c r="WD3" s="63"/>
      <c r="WE3" s="63"/>
      <c r="WF3" s="63"/>
      <c r="WG3" s="63"/>
      <c r="WH3" s="63"/>
      <c r="WI3" s="63"/>
      <c r="WJ3" s="63"/>
      <c r="WK3" s="63"/>
      <c r="WL3" s="63"/>
      <c r="WM3" s="63"/>
      <c r="WN3" s="63"/>
      <c r="WO3" s="63"/>
      <c r="WP3" s="63"/>
      <c r="WQ3" s="63"/>
      <c r="WR3" s="63"/>
      <c r="WS3" s="63"/>
      <c r="WT3" s="63"/>
      <c r="WU3" s="63"/>
      <c r="WV3" s="63"/>
      <c r="WW3" s="63"/>
      <c r="WX3" s="63"/>
      <c r="WY3" s="63"/>
      <c r="WZ3" s="63"/>
      <c r="XA3" s="63"/>
      <c r="XB3" s="63"/>
      <c r="XC3" s="63"/>
      <c r="XD3" s="63"/>
      <c r="XE3" s="63"/>
      <c r="XF3" s="63"/>
      <c r="XG3" s="63"/>
      <c r="XH3" s="63"/>
      <c r="XI3" s="63"/>
      <c r="XJ3" s="63"/>
      <c r="XK3" s="63"/>
      <c r="XL3" s="63"/>
      <c r="XM3" s="63"/>
      <c r="XN3" s="63"/>
      <c r="XO3" s="63"/>
      <c r="XP3" s="63"/>
      <c r="XQ3" s="63"/>
      <c r="XR3" s="63"/>
      <c r="XS3" s="63"/>
      <c r="XT3" s="63"/>
      <c r="XU3" s="63"/>
      <c r="XV3" s="63"/>
      <c r="XW3" s="63"/>
      <c r="XX3" s="63"/>
      <c r="XY3" s="63"/>
      <c r="XZ3" s="63"/>
      <c r="YA3" s="63"/>
      <c r="YB3" s="63"/>
      <c r="YC3" s="63"/>
      <c r="YD3" s="63"/>
      <c r="YE3" s="63"/>
      <c r="YF3" s="63"/>
      <c r="YG3" s="63"/>
      <c r="YH3" s="63"/>
      <c r="YI3" s="63"/>
      <c r="YJ3" s="63"/>
      <c r="YK3" s="63"/>
      <c r="YL3" s="63"/>
      <c r="YM3" s="63"/>
      <c r="YN3" s="63"/>
      <c r="YO3" s="63"/>
      <c r="YP3" s="63"/>
      <c r="YQ3" s="63"/>
      <c r="YR3" s="63"/>
      <c r="YS3" s="63"/>
      <c r="YT3" s="63"/>
      <c r="YU3" s="63"/>
      <c r="YV3" s="63"/>
      <c r="YW3" s="63"/>
      <c r="YX3" s="63"/>
      <c r="YY3" s="63"/>
      <c r="YZ3" s="63"/>
      <c r="ZA3" s="63"/>
      <c r="ZB3" s="63"/>
      <c r="ZC3" s="63"/>
      <c r="ZD3" s="63"/>
      <c r="ZE3" s="63"/>
      <c r="ZF3" s="63"/>
      <c r="ZG3" s="63"/>
      <c r="ZH3" s="63"/>
      <c r="ZI3" s="63"/>
      <c r="ZJ3" s="63"/>
      <c r="ZK3" s="63"/>
      <c r="ZL3" s="63"/>
      <c r="ZM3" s="63"/>
      <c r="ZN3" s="63"/>
      <c r="ZO3" s="63"/>
      <c r="ZP3" s="63"/>
      <c r="ZQ3" s="63"/>
      <c r="ZR3" s="63"/>
      <c r="ZS3" s="63"/>
      <c r="ZT3" s="63"/>
      <c r="ZU3" s="63"/>
      <c r="ZV3" s="63"/>
      <c r="ZW3" s="63"/>
      <c r="ZX3" s="63"/>
      <c r="ZY3" s="63"/>
      <c r="ZZ3" s="63"/>
      <c r="AAA3" s="63"/>
      <c r="AAB3" s="63"/>
      <c r="AAC3" s="63"/>
      <c r="AAD3" s="63"/>
      <c r="AAE3" s="63"/>
      <c r="AAF3" s="63"/>
      <c r="AAG3" s="63"/>
      <c r="AAH3" s="63"/>
      <c r="AAI3" s="63"/>
      <c r="AAJ3" s="63"/>
      <c r="AAK3" s="63"/>
      <c r="AAL3" s="63"/>
      <c r="AAM3" s="63"/>
      <c r="AAN3" s="63"/>
      <c r="AAO3" s="63"/>
      <c r="AAP3" s="63"/>
      <c r="AAQ3" s="63"/>
      <c r="AAR3" s="63"/>
      <c r="AAS3" s="63"/>
      <c r="AAT3" s="63"/>
      <c r="AAU3" s="63"/>
      <c r="AAV3" s="63"/>
      <c r="AAW3" s="63"/>
      <c r="AAX3" s="63"/>
      <c r="AAY3" s="63"/>
      <c r="AAZ3" s="63"/>
      <c r="ABA3" s="63"/>
      <c r="ABB3" s="63"/>
      <c r="ABC3" s="63"/>
      <c r="ABD3" s="63"/>
      <c r="ABE3" s="63"/>
      <c r="ABF3" s="63"/>
      <c r="ABG3" s="63"/>
      <c r="ABH3" s="63"/>
      <c r="ABI3" s="63"/>
      <c r="ABJ3" s="63"/>
      <c r="ABK3" s="63"/>
      <c r="ABL3" s="63"/>
      <c r="ABM3" s="63"/>
      <c r="ABN3" s="63"/>
      <c r="ABO3" s="63"/>
      <c r="ABP3" s="63"/>
      <c r="ABQ3" s="63"/>
      <c r="ABR3" s="63"/>
      <c r="ABS3" s="63"/>
      <c r="ABT3" s="63"/>
      <c r="ABU3" s="63"/>
      <c r="ABV3" s="63"/>
      <c r="ABW3" s="63"/>
      <c r="ABX3" s="63"/>
      <c r="ABY3" s="63"/>
      <c r="ABZ3" s="63"/>
      <c r="ACA3" s="63"/>
      <c r="ACB3" s="63"/>
      <c r="ACC3" s="63"/>
      <c r="ACD3" s="63"/>
      <c r="ACE3" s="63"/>
      <c r="ACF3" s="63"/>
      <c r="ACG3" s="63"/>
      <c r="ACH3" s="63"/>
      <c r="ACI3" s="63"/>
      <c r="ACJ3" s="63"/>
      <c r="ACK3" s="63"/>
      <c r="ACL3" s="63"/>
      <c r="ACM3" s="63"/>
      <c r="ACN3" s="63"/>
      <c r="ACO3" s="63"/>
      <c r="ACP3" s="63"/>
      <c r="ACQ3" s="63"/>
      <c r="ACR3" s="63"/>
      <c r="ACS3" s="63"/>
      <c r="ACT3" s="63"/>
      <c r="ACU3" s="63"/>
      <c r="ACV3" s="63"/>
      <c r="ACW3" s="63"/>
      <c r="ACX3" s="63"/>
      <c r="ACY3" s="63"/>
      <c r="ACZ3" s="63"/>
      <c r="ADA3" s="63"/>
      <c r="ADB3" s="63"/>
      <c r="ADC3" s="63"/>
      <c r="ADD3" s="63"/>
      <c r="ADE3" s="63"/>
      <c r="ADF3" s="63"/>
      <c r="ADG3" s="63"/>
      <c r="ADH3" s="63"/>
      <c r="ADI3" s="63"/>
      <c r="ADJ3" s="63"/>
      <c r="ADK3" s="63"/>
      <c r="ADL3" s="63"/>
      <c r="ADM3" s="63"/>
      <c r="ADN3" s="63"/>
      <c r="ADO3" s="63"/>
      <c r="ADP3" s="63"/>
      <c r="ADQ3" s="63"/>
      <c r="ADR3" s="63"/>
      <c r="ADS3" s="63"/>
      <c r="ADT3" s="63"/>
      <c r="ADU3" s="63"/>
      <c r="ADV3" s="63"/>
      <c r="ADW3" s="63"/>
      <c r="ADX3" s="63"/>
      <c r="ADY3" s="63"/>
      <c r="ADZ3" s="63"/>
      <c r="AEA3" s="63"/>
      <c r="AEB3" s="63"/>
      <c r="AEC3" s="63"/>
      <c r="AED3" s="63"/>
      <c r="AEE3" s="63"/>
      <c r="AEF3" s="63"/>
      <c r="AEG3" s="63"/>
      <c r="AEH3" s="63"/>
      <c r="AEI3" s="63"/>
      <c r="AEJ3" s="63"/>
      <c r="AEK3" s="63"/>
      <c r="AEL3" s="63"/>
      <c r="AEM3" s="63"/>
      <c r="AEN3" s="63"/>
      <c r="AEO3" s="63"/>
      <c r="AEP3" s="63"/>
      <c r="AEQ3" s="63"/>
      <c r="AER3" s="63"/>
      <c r="AES3" s="63"/>
      <c r="AET3" s="63"/>
      <c r="AEU3" s="63"/>
      <c r="AEV3" s="63"/>
      <c r="AEW3" s="63"/>
      <c r="AEX3" s="63"/>
      <c r="AEY3" s="63"/>
      <c r="AEZ3" s="63"/>
      <c r="AFA3" s="63"/>
      <c r="AFB3" s="63"/>
      <c r="AFC3" s="63"/>
      <c r="AFD3" s="63"/>
      <c r="AFE3" s="63"/>
      <c r="AFF3" s="63"/>
      <c r="AFG3" s="63"/>
      <c r="AFH3" s="63"/>
      <c r="AFI3" s="63"/>
      <c r="AFJ3" s="63"/>
      <c r="AFK3" s="63"/>
      <c r="AFL3" s="63"/>
      <c r="AFM3" s="63"/>
      <c r="AFN3" s="63"/>
      <c r="AFO3" s="63"/>
      <c r="AFP3" s="63"/>
      <c r="AFQ3" s="63"/>
      <c r="AFR3" s="63"/>
      <c r="AFS3" s="63"/>
      <c r="AFT3" s="63"/>
      <c r="AFU3" s="63"/>
      <c r="AFV3" s="63"/>
      <c r="AFW3" s="63"/>
      <c r="AFX3" s="63"/>
      <c r="AFY3" s="63"/>
      <c r="AFZ3" s="63"/>
      <c r="AGA3" s="63"/>
      <c r="AGB3" s="63"/>
      <c r="AGC3" s="63"/>
      <c r="AGD3" s="63"/>
      <c r="AGE3" s="63"/>
      <c r="AGF3" s="63"/>
      <c r="AGG3" s="63"/>
      <c r="AGH3" s="63"/>
      <c r="AGI3" s="63"/>
      <c r="AGJ3" s="63"/>
      <c r="AGK3" s="63"/>
      <c r="AGL3" s="63"/>
      <c r="AGM3" s="63"/>
      <c r="AGN3" s="63"/>
      <c r="AGO3" s="63"/>
      <c r="AGP3" s="63"/>
      <c r="AGQ3" s="63"/>
      <c r="AGR3" s="63"/>
      <c r="AGS3" s="63"/>
      <c r="AGT3" s="63"/>
      <c r="AGU3" s="63"/>
      <c r="AGV3" s="63"/>
      <c r="AGW3" s="63"/>
      <c r="AGX3" s="63"/>
      <c r="AGY3" s="63"/>
      <c r="AGZ3" s="63"/>
      <c r="AHA3" s="63"/>
      <c r="AHB3" s="63"/>
      <c r="AHC3" s="63"/>
      <c r="AHD3" s="63"/>
      <c r="AHE3" s="63"/>
      <c r="AHF3" s="63"/>
      <c r="AHG3" s="63"/>
      <c r="AHH3" s="63"/>
      <c r="AHI3" s="63"/>
      <c r="AHJ3" s="63"/>
      <c r="AHK3" s="63"/>
      <c r="AHL3" s="63"/>
      <c r="AHM3" s="63"/>
      <c r="AHN3" s="63"/>
      <c r="AHO3" s="63"/>
      <c r="AHP3" s="63"/>
      <c r="AHQ3" s="63"/>
      <c r="AHR3" s="63"/>
      <c r="AHS3" s="63"/>
      <c r="AHT3" s="63"/>
      <c r="AHU3" s="63"/>
      <c r="AHV3" s="63"/>
      <c r="AHW3" s="63"/>
      <c r="AHX3" s="63"/>
      <c r="AHY3" s="63"/>
      <c r="AHZ3" s="63"/>
      <c r="AIA3" s="63"/>
      <c r="AIB3" s="63"/>
      <c r="AIC3" s="63"/>
      <c r="AID3" s="63"/>
      <c r="AIE3" s="63"/>
      <c r="AIF3" s="63"/>
      <c r="AIG3" s="63"/>
      <c r="AIH3" s="63"/>
      <c r="AII3" s="63"/>
      <c r="AIJ3" s="63"/>
      <c r="AIK3" s="63"/>
      <c r="AIL3" s="63"/>
      <c r="AIM3" s="63"/>
      <c r="AIN3" s="63"/>
      <c r="AIO3" s="63"/>
      <c r="AIP3" s="63"/>
      <c r="AIQ3" s="63"/>
      <c r="AIR3" s="63"/>
      <c r="AIS3" s="63"/>
      <c r="AIT3" s="63"/>
      <c r="AIU3" s="63"/>
      <c r="AIV3" s="63"/>
      <c r="AIW3" s="63"/>
      <c r="AIX3" s="63"/>
      <c r="AIY3" s="63"/>
      <c r="AIZ3" s="63"/>
      <c r="AJA3" s="63"/>
      <c r="AJB3" s="63"/>
      <c r="AJC3" s="63"/>
      <c r="AJD3" s="63"/>
      <c r="AJE3" s="63"/>
      <c r="AJF3" s="63"/>
      <c r="AJG3" s="63"/>
      <c r="AJH3" s="63"/>
      <c r="AJI3" s="63"/>
      <c r="AJJ3" s="63"/>
      <c r="AJK3" s="63"/>
      <c r="AJL3" s="63"/>
      <c r="AJM3" s="63"/>
      <c r="AJN3" s="63"/>
      <c r="AJO3" s="63"/>
      <c r="AJP3" s="63"/>
      <c r="AJQ3" s="63"/>
      <c r="AJR3" s="63"/>
      <c r="AJS3" s="63"/>
      <c r="AJT3" s="63"/>
      <c r="AJU3" s="63"/>
      <c r="AJV3" s="63"/>
      <c r="AJW3" s="63"/>
      <c r="AJX3" s="63"/>
      <c r="AJY3" s="63"/>
      <c r="AJZ3" s="63"/>
      <c r="AKA3" s="63"/>
      <c r="AKB3" s="63"/>
      <c r="AKC3" s="63"/>
      <c r="AKD3" s="63"/>
      <c r="AKE3" s="63"/>
      <c r="AKF3" s="63"/>
      <c r="AKG3" s="63"/>
      <c r="AKH3" s="63"/>
      <c r="AKI3" s="63"/>
      <c r="AKJ3" s="63"/>
      <c r="AKK3" s="63"/>
      <c r="AKL3" s="63"/>
      <c r="AKM3" s="63"/>
      <c r="AKN3" s="63"/>
      <c r="AKO3" s="63"/>
      <c r="AKP3" s="63"/>
      <c r="AKQ3" s="63"/>
      <c r="AKR3" s="63"/>
      <c r="AKS3" s="63"/>
      <c r="AKT3" s="63"/>
      <c r="AKU3" s="63"/>
      <c r="AKV3" s="63"/>
      <c r="AKW3" s="63"/>
      <c r="AKX3" s="63"/>
      <c r="AKY3" s="63"/>
      <c r="AKZ3" s="63"/>
      <c r="ALA3" s="63"/>
      <c r="ALB3" s="63"/>
      <c r="ALC3" s="63"/>
      <c r="ALD3" s="63"/>
      <c r="ALE3" s="63"/>
      <c r="ALF3" s="63"/>
      <c r="ALG3" s="63"/>
      <c r="ALH3" s="63"/>
      <c r="ALI3" s="63"/>
      <c r="ALJ3" s="63"/>
      <c r="ALK3" s="63"/>
      <c r="ALL3" s="63"/>
      <c r="ALM3" s="63"/>
      <c r="ALN3" s="63"/>
      <c r="ALO3" s="63"/>
      <c r="ALP3" s="63"/>
      <c r="ALQ3" s="63"/>
      <c r="ALR3" s="63"/>
      <c r="ALS3" s="63"/>
      <c r="ALT3" s="63"/>
      <c r="ALU3" s="63"/>
      <c r="ALV3" s="63"/>
      <c r="ALW3" s="63"/>
      <c r="ALX3" s="63"/>
      <c r="ALY3" s="63"/>
      <c r="ALZ3" s="63"/>
      <c r="AMA3" s="63"/>
      <c r="AMB3" s="63"/>
      <c r="AMC3" s="63"/>
      <c r="AMD3" s="63"/>
      <c r="AME3" s="63"/>
      <c r="AMF3" s="63"/>
      <c r="AMG3" s="63"/>
      <c r="AMH3" s="63"/>
      <c r="AMI3" s="63"/>
      <c r="AMJ3" s="63"/>
      <c r="AMK3" s="63"/>
      <c r="AML3" s="63"/>
      <c r="AMM3" s="63"/>
      <c r="AMN3" s="63"/>
      <c r="AMO3" s="63"/>
      <c r="AMP3" s="63"/>
      <c r="AMQ3" s="63"/>
      <c r="AMR3" s="63"/>
      <c r="AMS3" s="63"/>
      <c r="AMT3" s="63"/>
      <c r="AMU3" s="63"/>
      <c r="AMV3" s="63"/>
      <c r="AMW3" s="63"/>
      <c r="AMX3" s="63"/>
      <c r="AMY3" s="63"/>
      <c r="AMZ3" s="63"/>
      <c r="ANA3" s="63"/>
      <c r="ANB3" s="63"/>
      <c r="ANC3" s="63"/>
      <c r="AND3" s="63"/>
      <c r="ANE3" s="63"/>
      <c r="ANF3" s="63"/>
    </row>
    <row r="4" spans="1:1046" ht="55.5" customHeight="1" x14ac:dyDescent="0.35">
      <c r="B4" s="281" t="s">
        <v>1888</v>
      </c>
      <c r="C4" s="355" t="s">
        <v>1041</v>
      </c>
      <c r="D4" s="355"/>
      <c r="E4" s="355" t="s">
        <v>238</v>
      </c>
      <c r="F4" s="356"/>
      <c r="G4" s="67" t="s">
        <v>84</v>
      </c>
      <c r="H4" s="347"/>
      <c r="I4" s="347"/>
      <c r="J4" s="347"/>
      <c r="K4" s="347"/>
      <c r="L4" s="347"/>
      <c r="M4" s="347"/>
      <c r="N4" s="347"/>
      <c r="O4" s="347"/>
      <c r="P4" s="347"/>
      <c r="Q4" s="347"/>
      <c r="R4" s="347"/>
      <c r="S4" s="347"/>
      <c r="T4" s="347"/>
      <c r="U4" s="347"/>
      <c r="V4" s="347"/>
      <c r="W4" s="347"/>
      <c r="X4" s="347"/>
      <c r="Y4" s="347"/>
      <c r="Z4" s="347"/>
      <c r="AA4" s="347"/>
      <c r="AB4" s="347"/>
      <c r="AC4" s="347"/>
      <c r="AD4" s="347"/>
      <c r="AE4" s="347"/>
      <c r="AF4" s="347"/>
      <c r="AG4" s="347"/>
      <c r="AH4" s="347"/>
      <c r="AI4" s="347"/>
      <c r="AJ4" s="347"/>
      <c r="AK4" s="358"/>
      <c r="AL4" s="358"/>
      <c r="AM4" s="358"/>
      <c r="AN4" s="358"/>
      <c r="AO4" s="358"/>
      <c r="AP4" s="347"/>
      <c r="AQ4" s="347"/>
      <c r="AR4" s="347"/>
      <c r="AS4" s="347"/>
      <c r="AT4" s="354"/>
      <c r="AU4" s="354"/>
      <c r="AV4" s="354"/>
      <c r="AW4" s="354"/>
      <c r="AX4" s="354"/>
      <c r="AY4" s="354"/>
      <c r="AZ4" s="354"/>
      <c r="BA4" s="354"/>
      <c r="BB4" s="354"/>
      <c r="BC4" s="41" t="s">
        <v>896</v>
      </c>
      <c r="BD4" s="153" t="s">
        <v>1042</v>
      </c>
      <c r="BE4" s="153" t="s">
        <v>1043</v>
      </c>
      <c r="BF4" s="204" t="s">
        <v>1044</v>
      </c>
      <c r="BG4" s="153" t="s">
        <v>1045</v>
      </c>
      <c r="BH4" s="153" t="s">
        <v>1896</v>
      </c>
      <c r="BI4" s="153" t="s">
        <v>1918</v>
      </c>
      <c r="BJ4" s="153" t="s">
        <v>2053</v>
      </c>
      <c r="BK4" s="116"/>
      <c r="BL4" s="176"/>
      <c r="BM4" s="111"/>
      <c r="BN4" s="111"/>
      <c r="BO4" s="111"/>
    </row>
    <row r="5" spans="1:1046" ht="60" customHeight="1" x14ac:dyDescent="0.35">
      <c r="B5" s="281"/>
      <c r="C5" s="355"/>
      <c r="D5" s="355"/>
      <c r="E5" s="355"/>
      <c r="F5" s="357"/>
      <c r="G5" s="199" t="s">
        <v>120</v>
      </c>
      <c r="H5" s="349"/>
      <c r="I5" s="349"/>
      <c r="J5" s="349"/>
      <c r="K5" s="349"/>
      <c r="L5" s="349"/>
      <c r="M5" s="349"/>
      <c r="N5" s="349"/>
      <c r="O5" s="349"/>
      <c r="P5" s="349"/>
      <c r="Q5" s="349"/>
      <c r="R5" s="349"/>
      <c r="S5" s="349"/>
      <c r="T5" s="349"/>
      <c r="U5" s="350"/>
      <c r="V5" s="350"/>
      <c r="W5" s="350"/>
      <c r="X5" s="349"/>
      <c r="Y5" s="350"/>
      <c r="Z5" s="350"/>
      <c r="AA5" s="350"/>
      <c r="AB5" s="350"/>
      <c r="AC5" s="349"/>
      <c r="AD5" s="350"/>
      <c r="AE5" s="350"/>
      <c r="AF5" s="350"/>
      <c r="AG5" s="349"/>
      <c r="AH5" s="350"/>
      <c r="AI5" s="350"/>
      <c r="AJ5" s="350"/>
      <c r="AK5" s="351"/>
      <c r="AL5" s="352"/>
      <c r="AM5" s="352"/>
      <c r="AN5" s="352"/>
      <c r="AO5" s="352"/>
      <c r="AP5" s="349"/>
      <c r="AQ5" s="350"/>
      <c r="AR5" s="350"/>
      <c r="AS5" s="350"/>
      <c r="AT5" s="348"/>
      <c r="AU5" s="348"/>
      <c r="AV5" s="348"/>
      <c r="AW5" s="348"/>
      <c r="AX5" s="348"/>
      <c r="AY5" s="348"/>
      <c r="AZ5" s="348"/>
      <c r="BA5" s="348"/>
      <c r="BB5" s="348"/>
      <c r="BC5" s="96" t="s">
        <v>946</v>
      </c>
      <c r="BD5" s="218" t="s">
        <v>947</v>
      </c>
      <c r="BE5" s="202" t="s">
        <v>1046</v>
      </c>
      <c r="BF5" s="203" t="s">
        <v>1047</v>
      </c>
      <c r="BG5" s="203" t="s">
        <v>1897</v>
      </c>
      <c r="BH5" s="138" t="s">
        <v>1917</v>
      </c>
      <c r="BI5" s="138" t="s">
        <v>2051</v>
      </c>
      <c r="BJ5" s="143"/>
      <c r="BK5" s="143"/>
      <c r="BL5" s="118"/>
      <c r="BM5" s="112"/>
      <c r="BN5" s="112"/>
      <c r="BO5" s="112"/>
    </row>
    <row r="6" spans="1:1046" ht="46.5" customHeight="1" x14ac:dyDescent="0.35">
      <c r="B6" s="355" t="s">
        <v>1048</v>
      </c>
      <c r="C6" s="355" t="s">
        <v>1049</v>
      </c>
      <c r="D6" s="355"/>
      <c r="E6" s="355"/>
      <c r="F6" s="357" t="s">
        <v>1930</v>
      </c>
      <c r="G6" s="67" t="s">
        <v>84</v>
      </c>
      <c r="H6" s="347"/>
      <c r="I6" s="347"/>
      <c r="J6" s="347"/>
      <c r="K6" s="347"/>
      <c r="L6" s="347"/>
      <c r="M6" s="347"/>
      <c r="N6" s="347"/>
      <c r="O6" s="347"/>
      <c r="P6" s="347"/>
      <c r="Q6" s="347"/>
      <c r="R6" s="347"/>
      <c r="S6" s="347"/>
      <c r="T6" s="347"/>
      <c r="U6" s="347"/>
      <c r="V6" s="347"/>
      <c r="W6" s="347"/>
      <c r="X6" s="347"/>
      <c r="Y6" s="347"/>
      <c r="Z6" s="347"/>
      <c r="AA6" s="347"/>
      <c r="AB6" s="347"/>
      <c r="AC6" s="347"/>
      <c r="AD6" s="347"/>
      <c r="AE6" s="347"/>
      <c r="AF6" s="347"/>
      <c r="AG6" s="347"/>
      <c r="AH6" s="347"/>
      <c r="AI6" s="347"/>
      <c r="AJ6" s="347"/>
      <c r="AK6" s="358"/>
      <c r="AL6" s="358"/>
      <c r="AM6" s="358"/>
      <c r="AN6" s="358"/>
      <c r="AO6" s="358"/>
      <c r="AP6" s="347"/>
      <c r="AQ6" s="347"/>
      <c r="AR6" s="347"/>
      <c r="AS6" s="347"/>
      <c r="AT6" s="354"/>
      <c r="AU6" s="354"/>
      <c r="AV6" s="354"/>
      <c r="AW6" s="354"/>
      <c r="AX6" s="354"/>
      <c r="AY6" s="354"/>
      <c r="AZ6" s="354"/>
      <c r="BA6" s="354"/>
      <c r="BB6" s="354"/>
      <c r="BC6" s="196"/>
      <c r="BD6" s="196" t="s">
        <v>1050</v>
      </c>
      <c r="BE6" s="196" t="s">
        <v>1050</v>
      </c>
      <c r="BF6" s="219" t="s">
        <v>1050</v>
      </c>
      <c r="BG6" s="51" t="s">
        <v>1911</v>
      </c>
      <c r="BH6" s="153" t="s">
        <v>1852</v>
      </c>
      <c r="BI6" s="153" t="s">
        <v>1912</v>
      </c>
      <c r="BJ6" s="153" t="s">
        <v>2036</v>
      </c>
      <c r="BK6" s="116"/>
      <c r="BL6" s="176"/>
      <c r="BM6" s="111"/>
      <c r="BN6" s="111"/>
      <c r="BO6" s="111"/>
    </row>
    <row r="7" spans="1:1046" ht="46.5" customHeight="1" x14ac:dyDescent="0.35">
      <c r="B7" s="355"/>
      <c r="C7" s="355"/>
      <c r="D7" s="355"/>
      <c r="E7" s="355"/>
      <c r="F7" s="357"/>
      <c r="G7" s="199" t="s">
        <v>120</v>
      </c>
      <c r="H7" s="345"/>
      <c r="I7" s="345"/>
      <c r="J7" s="345"/>
      <c r="K7" s="345"/>
      <c r="L7" s="345"/>
      <c r="M7" s="345"/>
      <c r="N7" s="345"/>
      <c r="O7" s="345"/>
      <c r="P7" s="345"/>
      <c r="Q7" s="345"/>
      <c r="R7" s="345"/>
      <c r="S7" s="345"/>
      <c r="T7" s="345"/>
      <c r="U7" s="346"/>
      <c r="V7" s="346"/>
      <c r="W7" s="346"/>
      <c r="X7" s="345"/>
      <c r="Y7" s="346"/>
      <c r="Z7" s="346"/>
      <c r="AA7" s="346"/>
      <c r="AB7" s="346"/>
      <c r="AC7" s="345"/>
      <c r="AD7" s="346"/>
      <c r="AE7" s="346"/>
      <c r="AF7" s="346"/>
      <c r="AG7" s="345"/>
      <c r="AH7" s="346"/>
      <c r="AI7" s="346"/>
      <c r="AJ7" s="346"/>
      <c r="AK7" s="343"/>
      <c r="AL7" s="344"/>
      <c r="AM7" s="344"/>
      <c r="AN7" s="344"/>
      <c r="AO7" s="344"/>
      <c r="AP7" s="345"/>
      <c r="AQ7" s="346"/>
      <c r="AR7" s="346"/>
      <c r="AS7" s="346"/>
      <c r="AT7" s="353"/>
      <c r="AU7" s="353"/>
      <c r="AV7" s="353"/>
      <c r="AW7" s="353"/>
      <c r="AX7" s="353"/>
      <c r="AY7" s="353"/>
      <c r="AZ7" s="353"/>
      <c r="BA7" s="353"/>
      <c r="BB7" s="353"/>
      <c r="BC7" s="217"/>
      <c r="BD7" s="217" t="s">
        <v>1051</v>
      </c>
      <c r="BE7" s="202" t="s">
        <v>1052</v>
      </c>
      <c r="BF7" s="203" t="s">
        <v>1053</v>
      </c>
      <c r="BG7" s="139" t="s">
        <v>1852</v>
      </c>
      <c r="BH7" s="138" t="s">
        <v>2044</v>
      </c>
      <c r="BI7" s="138" t="s">
        <v>2052</v>
      </c>
      <c r="BJ7" s="143"/>
      <c r="BK7" s="143"/>
      <c r="BL7" s="118"/>
      <c r="BM7" s="112"/>
      <c r="BN7" s="112"/>
      <c r="BO7" s="112"/>
    </row>
    <row r="8" spans="1:1046" ht="65.25" customHeight="1" x14ac:dyDescent="0.35">
      <c r="B8" s="378" t="s">
        <v>1054</v>
      </c>
      <c r="C8" s="355" t="s">
        <v>1055</v>
      </c>
      <c r="D8" s="355" t="s">
        <v>81</v>
      </c>
      <c r="E8" s="355" t="s">
        <v>238</v>
      </c>
      <c r="F8" s="357" t="s">
        <v>2138</v>
      </c>
      <c r="G8" s="65" t="s">
        <v>84</v>
      </c>
      <c r="H8" s="51" t="s">
        <v>1056</v>
      </c>
      <c r="I8" s="51" t="s">
        <v>1057</v>
      </c>
      <c r="J8" s="51" t="s">
        <v>1058</v>
      </c>
      <c r="K8" s="51" t="s">
        <v>1059</v>
      </c>
      <c r="L8" s="347" t="s">
        <v>1060</v>
      </c>
      <c r="M8" s="347"/>
      <c r="N8" s="51" t="s">
        <v>1061</v>
      </c>
      <c r="O8" s="51" t="s">
        <v>1062</v>
      </c>
      <c r="P8" s="51" t="s">
        <v>1063</v>
      </c>
      <c r="Q8" s="51" t="s">
        <v>1064</v>
      </c>
      <c r="R8" s="51" t="s">
        <v>1065</v>
      </c>
      <c r="S8" s="51" t="s">
        <v>1066</v>
      </c>
      <c r="T8" s="51" t="s">
        <v>1067</v>
      </c>
      <c r="U8" s="51" t="s">
        <v>1068</v>
      </c>
      <c r="V8" s="51" t="s">
        <v>1069</v>
      </c>
      <c r="W8" s="51" t="s">
        <v>1070</v>
      </c>
      <c r="X8" s="51" t="s">
        <v>1071</v>
      </c>
      <c r="Y8" s="51" t="s">
        <v>1072</v>
      </c>
      <c r="Z8" s="51" t="s">
        <v>1073</v>
      </c>
      <c r="AA8" s="51" t="s">
        <v>1074</v>
      </c>
      <c r="AB8" s="51" t="s">
        <v>1075</v>
      </c>
      <c r="AC8" s="51" t="s">
        <v>1075</v>
      </c>
      <c r="AD8" s="51" t="s">
        <v>1076</v>
      </c>
      <c r="AE8" s="51" t="s">
        <v>1077</v>
      </c>
      <c r="AF8" s="51" t="s">
        <v>1078</v>
      </c>
      <c r="AG8" s="51" t="s">
        <v>1079</v>
      </c>
      <c r="AH8" s="51" t="s">
        <v>1080</v>
      </c>
      <c r="AI8" s="51" t="s">
        <v>1081</v>
      </c>
      <c r="AJ8" s="51" t="s">
        <v>1082</v>
      </c>
      <c r="AK8" s="51" t="s">
        <v>1083</v>
      </c>
      <c r="AL8" s="51" t="s">
        <v>1084</v>
      </c>
      <c r="AM8" s="51" t="s">
        <v>1085</v>
      </c>
      <c r="AN8" s="51" t="s">
        <v>1086</v>
      </c>
      <c r="AO8" s="51" t="s">
        <v>1087</v>
      </c>
      <c r="AP8" s="51" t="s">
        <v>1088</v>
      </c>
      <c r="AQ8" s="51" t="s">
        <v>1089</v>
      </c>
      <c r="AR8" s="51" t="s">
        <v>1090</v>
      </c>
      <c r="AS8" s="51" t="s">
        <v>1091</v>
      </c>
      <c r="AT8" s="51" t="s">
        <v>1091</v>
      </c>
      <c r="AU8" s="51" t="s">
        <v>1092</v>
      </c>
      <c r="AV8" s="51" t="s">
        <v>1092</v>
      </c>
      <c r="AW8" s="175" t="s">
        <v>1093</v>
      </c>
      <c r="AX8" s="175" t="s">
        <v>1094</v>
      </c>
      <c r="AY8" s="175"/>
      <c r="AZ8" s="175" t="s">
        <v>1095</v>
      </c>
      <c r="BA8" s="175" t="s">
        <v>1096</v>
      </c>
      <c r="BB8" s="175" t="s">
        <v>1097</v>
      </c>
      <c r="BC8" s="194" t="s">
        <v>1098</v>
      </c>
      <c r="BD8" s="175" t="s">
        <v>1099</v>
      </c>
      <c r="BE8" s="175" t="s">
        <v>1099</v>
      </c>
      <c r="BF8" s="207" t="s">
        <v>1100</v>
      </c>
      <c r="BG8" s="175" t="s">
        <v>1100</v>
      </c>
      <c r="BH8" s="175" t="s">
        <v>1850</v>
      </c>
      <c r="BI8" s="175" t="s">
        <v>1920</v>
      </c>
      <c r="BJ8" s="175" t="s">
        <v>2037</v>
      </c>
      <c r="BK8" s="175"/>
      <c r="BL8" s="176">
        <v>45757</v>
      </c>
      <c r="BM8" s="111">
        <v>45800</v>
      </c>
      <c r="BN8" s="111">
        <v>45930</v>
      </c>
      <c r="BO8" s="111">
        <v>46038</v>
      </c>
    </row>
    <row r="9" spans="1:1046" ht="222" customHeight="1" x14ac:dyDescent="0.35">
      <c r="B9" s="378"/>
      <c r="C9" s="355"/>
      <c r="D9" s="355"/>
      <c r="E9" s="355"/>
      <c r="F9" s="357"/>
      <c r="G9" s="66" t="s">
        <v>120</v>
      </c>
      <c r="H9" s="52" t="s">
        <v>1101</v>
      </c>
      <c r="I9" s="52" t="s">
        <v>1102</v>
      </c>
      <c r="J9" s="52" t="s">
        <v>1103</v>
      </c>
      <c r="K9" s="52" t="s">
        <v>1104</v>
      </c>
      <c r="L9" s="345" t="s">
        <v>1105</v>
      </c>
      <c r="M9" s="345"/>
      <c r="N9" s="52" t="s">
        <v>1106</v>
      </c>
      <c r="O9" s="52" t="s">
        <v>1062</v>
      </c>
      <c r="P9" s="52" t="s">
        <v>1063</v>
      </c>
      <c r="Q9" s="52" t="s">
        <v>1107</v>
      </c>
      <c r="R9" s="52" t="s">
        <v>1108</v>
      </c>
      <c r="S9" s="52" t="s">
        <v>1109</v>
      </c>
      <c r="T9" s="52" t="s">
        <v>1110</v>
      </c>
      <c r="U9" s="52" t="s">
        <v>1111</v>
      </c>
      <c r="V9" s="52" t="s">
        <v>1112</v>
      </c>
      <c r="W9" s="52" t="s">
        <v>1113</v>
      </c>
      <c r="X9" s="52" t="s">
        <v>1114</v>
      </c>
      <c r="Y9" s="52" t="s">
        <v>1115</v>
      </c>
      <c r="Z9" s="52" t="s">
        <v>1116</v>
      </c>
      <c r="AA9" s="52" t="s">
        <v>1117</v>
      </c>
      <c r="AB9" s="52" t="s">
        <v>1117</v>
      </c>
      <c r="AC9" s="52" t="s">
        <v>1118</v>
      </c>
      <c r="AD9" s="52" t="s">
        <v>1119</v>
      </c>
      <c r="AE9" s="52" t="s">
        <v>1120</v>
      </c>
      <c r="AF9" s="52" t="s">
        <v>1121</v>
      </c>
      <c r="AG9" s="52" t="s">
        <v>1122</v>
      </c>
      <c r="AH9" s="52" t="s">
        <v>1123</v>
      </c>
      <c r="AI9" s="52" t="s">
        <v>1124</v>
      </c>
      <c r="AJ9" s="52" t="s">
        <v>1125</v>
      </c>
      <c r="AK9" s="52" t="s">
        <v>1126</v>
      </c>
      <c r="AL9" s="52" t="s">
        <v>1127</v>
      </c>
      <c r="AM9" s="52" t="s">
        <v>1128</v>
      </c>
      <c r="AN9" s="52" t="s">
        <v>1129</v>
      </c>
      <c r="AO9" s="52" t="s">
        <v>1130</v>
      </c>
      <c r="AP9" s="52" t="s">
        <v>1130</v>
      </c>
      <c r="AQ9" s="159" t="s">
        <v>1131</v>
      </c>
      <c r="AR9" s="159" t="s">
        <v>1132</v>
      </c>
      <c r="AS9" s="159" t="s">
        <v>1133</v>
      </c>
      <c r="AT9" s="159" t="s">
        <v>1134</v>
      </c>
      <c r="AU9" s="159" t="s">
        <v>1135</v>
      </c>
      <c r="AV9" s="159" t="s">
        <v>1136</v>
      </c>
      <c r="AW9" s="159" t="s">
        <v>1137</v>
      </c>
      <c r="AX9" s="159" t="s">
        <v>1138</v>
      </c>
      <c r="AY9" s="159"/>
      <c r="AZ9" s="159" t="s">
        <v>1139</v>
      </c>
      <c r="BA9" s="159" t="s">
        <v>1140</v>
      </c>
      <c r="BB9" s="159" t="s">
        <v>1141</v>
      </c>
      <c r="BC9" s="195" t="s">
        <v>1142</v>
      </c>
      <c r="BD9" s="195" t="s">
        <v>1143</v>
      </c>
      <c r="BE9" s="195" t="s">
        <v>1144</v>
      </c>
      <c r="BF9" s="208" t="s">
        <v>1145</v>
      </c>
      <c r="BG9" s="208" t="s">
        <v>1921</v>
      </c>
      <c r="BH9" s="208" t="s">
        <v>2014</v>
      </c>
      <c r="BI9" s="208" t="s">
        <v>2042</v>
      </c>
      <c r="BJ9" s="209"/>
      <c r="BK9" s="209"/>
      <c r="BL9" s="118">
        <v>45756</v>
      </c>
      <c r="BM9" s="112">
        <v>45832</v>
      </c>
      <c r="BN9" s="112">
        <v>45940</v>
      </c>
      <c r="BO9" s="112"/>
    </row>
    <row r="10" spans="1:1046" ht="38.25" customHeight="1" x14ac:dyDescent="0.35">
      <c r="B10" s="355" t="s">
        <v>1146</v>
      </c>
      <c r="C10" s="355" t="s">
        <v>1055</v>
      </c>
      <c r="D10" s="355"/>
      <c r="E10" s="355"/>
      <c r="F10" s="357" t="s">
        <v>1147</v>
      </c>
      <c r="G10" s="65" t="s">
        <v>84</v>
      </c>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58"/>
      <c r="AL10" s="358"/>
      <c r="AM10" s="358"/>
      <c r="AN10" s="358"/>
      <c r="AO10" s="358"/>
      <c r="AP10" s="347"/>
      <c r="AQ10" s="347"/>
      <c r="AR10" s="347"/>
      <c r="AS10" s="347"/>
      <c r="AT10" s="354"/>
      <c r="AU10" s="354"/>
      <c r="AV10" s="354"/>
      <c r="AW10" s="354"/>
      <c r="AX10" s="354"/>
      <c r="AY10" s="358" t="s">
        <v>1148</v>
      </c>
      <c r="AZ10" s="358"/>
      <c r="BA10" s="358"/>
      <c r="BB10" s="358"/>
      <c r="BC10" s="196" t="s">
        <v>1149</v>
      </c>
      <c r="BD10" s="153" t="s">
        <v>1150</v>
      </c>
      <c r="BE10" s="153" t="s">
        <v>1151</v>
      </c>
      <c r="BF10" s="204" t="s">
        <v>1152</v>
      </c>
      <c r="BG10" s="153" t="s">
        <v>1152</v>
      </c>
      <c r="BH10" s="153" t="s">
        <v>1869</v>
      </c>
      <c r="BI10" s="153" t="s">
        <v>1924</v>
      </c>
      <c r="BJ10" s="153" t="s">
        <v>2038</v>
      </c>
      <c r="BK10" s="153"/>
      <c r="BL10" s="176"/>
      <c r="BM10" s="111"/>
      <c r="BN10" s="111"/>
      <c r="BO10" s="111"/>
    </row>
    <row r="11" spans="1:1046" ht="48" customHeight="1" x14ac:dyDescent="0.35">
      <c r="B11" s="355"/>
      <c r="C11" s="355"/>
      <c r="D11" s="355"/>
      <c r="E11" s="355"/>
      <c r="F11" s="357"/>
      <c r="G11" s="66" t="s">
        <v>120</v>
      </c>
      <c r="H11" s="345"/>
      <c r="I11" s="345"/>
      <c r="J11" s="345"/>
      <c r="K11" s="345"/>
      <c r="L11" s="345"/>
      <c r="M11" s="345"/>
      <c r="N11" s="345"/>
      <c r="O11" s="345"/>
      <c r="P11" s="345"/>
      <c r="Q11" s="345"/>
      <c r="R11" s="345"/>
      <c r="S11" s="345"/>
      <c r="T11" s="345"/>
      <c r="U11" s="346"/>
      <c r="V11" s="346"/>
      <c r="W11" s="346"/>
      <c r="X11" s="345"/>
      <c r="Y11" s="346"/>
      <c r="Z11" s="346"/>
      <c r="AA11" s="346"/>
      <c r="AB11" s="346"/>
      <c r="AC11" s="345"/>
      <c r="AD11" s="346"/>
      <c r="AE11" s="346"/>
      <c r="AF11" s="346"/>
      <c r="AG11" s="345"/>
      <c r="AH11" s="346"/>
      <c r="AI11" s="346"/>
      <c r="AJ11" s="346"/>
      <c r="AK11" s="343"/>
      <c r="AL11" s="344"/>
      <c r="AM11" s="344"/>
      <c r="AN11" s="344"/>
      <c r="AO11" s="344"/>
      <c r="AP11" s="345"/>
      <c r="AQ11" s="346"/>
      <c r="AR11" s="346"/>
      <c r="AS11" s="346"/>
      <c r="AT11" s="353"/>
      <c r="AU11" s="353"/>
      <c r="AV11" s="353"/>
      <c r="AW11" s="353"/>
      <c r="AX11" s="353"/>
      <c r="AY11" s="343" t="s">
        <v>1153</v>
      </c>
      <c r="AZ11" s="344"/>
      <c r="BA11" s="344"/>
      <c r="BB11" s="344"/>
      <c r="BC11" s="197" t="s">
        <v>1154</v>
      </c>
      <c r="BD11" s="200" t="s">
        <v>1155</v>
      </c>
      <c r="BE11" s="200" t="s">
        <v>1156</v>
      </c>
      <c r="BF11" s="203" t="s">
        <v>1157</v>
      </c>
      <c r="BG11" s="203" t="s">
        <v>1898</v>
      </c>
      <c r="BH11" s="203" t="s">
        <v>1922</v>
      </c>
      <c r="BI11" s="203" t="s">
        <v>2039</v>
      </c>
      <c r="BJ11" s="143"/>
      <c r="BK11" s="143"/>
      <c r="BL11" s="118"/>
      <c r="BM11" s="112"/>
      <c r="BN11" s="112"/>
      <c r="BO11" s="112"/>
    </row>
    <row r="12" spans="1:1046" ht="42" customHeight="1" x14ac:dyDescent="0.35">
      <c r="B12" s="355" t="s">
        <v>1158</v>
      </c>
      <c r="C12" s="355" t="s">
        <v>1055</v>
      </c>
      <c r="D12" s="355"/>
      <c r="E12" s="355"/>
      <c r="F12" s="357" t="s">
        <v>2139</v>
      </c>
      <c r="G12" s="65" t="s">
        <v>84</v>
      </c>
      <c r="H12" s="347"/>
      <c r="I12" s="347"/>
      <c r="J12" s="347"/>
      <c r="K12" s="347"/>
      <c r="L12" s="347"/>
      <c r="M12" s="347"/>
      <c r="N12" s="347"/>
      <c r="O12" s="347"/>
      <c r="P12" s="347"/>
      <c r="Q12" s="347"/>
      <c r="R12" s="347"/>
      <c r="S12" s="347"/>
      <c r="T12" s="347"/>
      <c r="U12" s="347"/>
      <c r="V12" s="347"/>
      <c r="W12" s="347"/>
      <c r="X12" s="347"/>
      <c r="Y12" s="347"/>
      <c r="Z12" s="347"/>
      <c r="AA12" s="347"/>
      <c r="AB12" s="347"/>
      <c r="AC12" s="347"/>
      <c r="AD12" s="347"/>
      <c r="AE12" s="347"/>
      <c r="AF12" s="347"/>
      <c r="AG12" s="347"/>
      <c r="AH12" s="347"/>
      <c r="AI12" s="347"/>
      <c r="AJ12" s="347"/>
      <c r="AK12" s="358"/>
      <c r="AL12" s="358"/>
      <c r="AM12" s="358"/>
      <c r="AN12" s="358"/>
      <c r="AO12" s="358"/>
      <c r="AP12" s="347"/>
      <c r="AQ12" s="347"/>
      <c r="AR12" s="347"/>
      <c r="AS12" s="347"/>
      <c r="AT12" s="354"/>
      <c r="AU12" s="354"/>
      <c r="AV12" s="354"/>
      <c r="AW12" s="354"/>
      <c r="AX12" s="354"/>
      <c r="AY12" s="358" t="s">
        <v>1159</v>
      </c>
      <c r="AZ12" s="358"/>
      <c r="BA12" s="358"/>
      <c r="BB12" s="358"/>
      <c r="BC12" s="196" t="s">
        <v>1160</v>
      </c>
      <c r="BD12" s="153" t="s">
        <v>1161</v>
      </c>
      <c r="BE12" s="153" t="s">
        <v>1162</v>
      </c>
      <c r="BF12" s="204" t="s">
        <v>1163</v>
      </c>
      <c r="BG12" s="153" t="s">
        <v>1163</v>
      </c>
      <c r="BH12" s="153" t="s">
        <v>1870</v>
      </c>
      <c r="BI12" s="153" t="s">
        <v>1925</v>
      </c>
      <c r="BJ12" s="153" t="s">
        <v>2041</v>
      </c>
      <c r="BK12" s="153"/>
      <c r="BL12" s="176"/>
      <c r="BM12" s="111"/>
      <c r="BN12" s="111"/>
      <c r="BO12" s="111"/>
    </row>
    <row r="13" spans="1:1046" ht="96.75" customHeight="1" x14ac:dyDescent="0.35">
      <c r="B13" s="355"/>
      <c r="C13" s="355"/>
      <c r="D13" s="355"/>
      <c r="E13" s="355"/>
      <c r="F13" s="357"/>
      <c r="G13" s="66" t="s">
        <v>120</v>
      </c>
      <c r="H13" s="345"/>
      <c r="I13" s="345"/>
      <c r="J13" s="345"/>
      <c r="K13" s="345"/>
      <c r="L13" s="345"/>
      <c r="M13" s="345"/>
      <c r="N13" s="345"/>
      <c r="O13" s="345"/>
      <c r="P13" s="345"/>
      <c r="Q13" s="345"/>
      <c r="R13" s="345"/>
      <c r="S13" s="345"/>
      <c r="T13" s="345"/>
      <c r="U13" s="346"/>
      <c r="V13" s="346"/>
      <c r="W13" s="346"/>
      <c r="X13" s="345"/>
      <c r="Y13" s="346"/>
      <c r="Z13" s="346"/>
      <c r="AA13" s="346"/>
      <c r="AB13" s="346"/>
      <c r="AC13" s="345"/>
      <c r="AD13" s="346"/>
      <c r="AE13" s="346"/>
      <c r="AF13" s="346"/>
      <c r="AG13" s="345"/>
      <c r="AH13" s="346"/>
      <c r="AI13" s="346"/>
      <c r="AJ13" s="346"/>
      <c r="AK13" s="343"/>
      <c r="AL13" s="344"/>
      <c r="AM13" s="344"/>
      <c r="AN13" s="344"/>
      <c r="AO13" s="344"/>
      <c r="AP13" s="345"/>
      <c r="AQ13" s="346"/>
      <c r="AR13" s="346"/>
      <c r="AS13" s="346"/>
      <c r="AT13" s="353"/>
      <c r="AU13" s="353"/>
      <c r="AV13" s="353"/>
      <c r="AW13" s="353"/>
      <c r="AX13" s="353"/>
      <c r="AY13" s="343" t="s">
        <v>1164</v>
      </c>
      <c r="AZ13" s="344"/>
      <c r="BA13" s="344"/>
      <c r="BB13" s="344"/>
      <c r="BC13" s="197" t="s">
        <v>1165</v>
      </c>
      <c r="BD13" s="200" t="s">
        <v>1166</v>
      </c>
      <c r="BE13" s="200" t="s">
        <v>1167</v>
      </c>
      <c r="BF13" s="203" t="s">
        <v>1168</v>
      </c>
      <c r="BG13" s="203" t="s">
        <v>1868</v>
      </c>
      <c r="BH13" s="203" t="s">
        <v>1923</v>
      </c>
      <c r="BI13" s="203" t="s">
        <v>2054</v>
      </c>
      <c r="BJ13" s="143"/>
      <c r="BK13" s="143"/>
      <c r="BL13" s="118"/>
      <c r="BM13" s="112"/>
      <c r="BN13" s="112"/>
      <c r="BO13" s="112"/>
    </row>
    <row r="14" spans="1:1046" ht="65.25" customHeight="1" x14ac:dyDescent="0.35">
      <c r="B14" s="378" t="s">
        <v>1169</v>
      </c>
      <c r="C14" s="355" t="s">
        <v>1170</v>
      </c>
      <c r="D14" s="368" t="s">
        <v>1171</v>
      </c>
      <c r="E14" s="355" t="s">
        <v>1172</v>
      </c>
      <c r="F14" s="373" t="s">
        <v>2136</v>
      </c>
      <c r="G14" s="65" t="s">
        <v>84</v>
      </c>
      <c r="H14" s="52"/>
      <c r="I14" s="52"/>
      <c r="J14" s="52"/>
      <c r="K14" s="52"/>
      <c r="L14" s="52"/>
      <c r="M14" s="52"/>
      <c r="N14" s="52"/>
      <c r="O14" s="52"/>
      <c r="P14" s="52"/>
      <c r="Q14" s="52"/>
      <c r="R14" s="52"/>
      <c r="S14" s="52"/>
      <c r="T14" s="52"/>
      <c r="U14" s="52"/>
      <c r="V14" s="52"/>
      <c r="W14" s="52"/>
      <c r="X14" s="52"/>
      <c r="Y14" s="52"/>
      <c r="Z14" s="51"/>
      <c r="AA14" s="51"/>
      <c r="AB14" s="51"/>
      <c r="AC14" s="51"/>
      <c r="AD14" s="51" t="s">
        <v>1173</v>
      </c>
      <c r="AE14" s="51" t="s">
        <v>1174</v>
      </c>
      <c r="AF14" s="51" t="s">
        <v>1175</v>
      </c>
      <c r="AG14" s="51" t="s">
        <v>1176</v>
      </c>
      <c r="AH14" s="51" t="s">
        <v>1177</v>
      </c>
      <c r="AI14" s="51" t="s">
        <v>1178</v>
      </c>
      <c r="AJ14" s="51" t="s">
        <v>1179</v>
      </c>
      <c r="AK14" s="51" t="s">
        <v>1180</v>
      </c>
      <c r="AL14" s="51" t="s">
        <v>1180</v>
      </c>
      <c r="AM14" s="51" t="s">
        <v>1181</v>
      </c>
      <c r="AN14" s="51" t="s">
        <v>1182</v>
      </c>
      <c r="AO14" s="51" t="s">
        <v>1183</v>
      </c>
      <c r="AP14" s="51" t="s">
        <v>1184</v>
      </c>
      <c r="AQ14" s="51" t="s">
        <v>1185</v>
      </c>
      <c r="AR14" s="51" t="s">
        <v>1186</v>
      </c>
      <c r="AS14" s="51" t="s">
        <v>1187</v>
      </c>
      <c r="AT14" s="51" t="s">
        <v>1188</v>
      </c>
      <c r="AU14" s="51" t="s">
        <v>1189</v>
      </c>
      <c r="AV14" s="51" t="s">
        <v>1190</v>
      </c>
      <c r="AW14" s="51" t="s">
        <v>1191</v>
      </c>
      <c r="AX14" s="51" t="s">
        <v>1192</v>
      </c>
      <c r="AY14" s="51" t="s">
        <v>1193</v>
      </c>
      <c r="AZ14" s="51" t="s">
        <v>1194</v>
      </c>
      <c r="BA14" s="51" t="s">
        <v>1195</v>
      </c>
      <c r="BB14" s="51" t="s">
        <v>1196</v>
      </c>
      <c r="BC14" s="189" t="s">
        <v>1197</v>
      </c>
      <c r="BD14" s="51" t="s">
        <v>1198</v>
      </c>
      <c r="BE14" s="51" t="s">
        <v>1199</v>
      </c>
      <c r="BF14" s="210" t="s">
        <v>1200</v>
      </c>
      <c r="BG14" s="51" t="s">
        <v>1201</v>
      </c>
      <c r="BH14" s="51" t="s">
        <v>1886</v>
      </c>
      <c r="BI14" s="51" t="s">
        <v>2015</v>
      </c>
      <c r="BJ14" s="51" t="s">
        <v>2055</v>
      </c>
      <c r="BK14" s="51"/>
      <c r="BL14" s="211"/>
      <c r="BM14" s="153"/>
      <c r="BN14" s="120"/>
      <c r="BO14" s="120"/>
    </row>
    <row r="15" spans="1:1046" ht="45" customHeight="1" x14ac:dyDescent="0.35">
      <c r="B15" s="378"/>
      <c r="C15" s="355"/>
      <c r="D15" s="368"/>
      <c r="E15" s="355"/>
      <c r="F15" s="373"/>
      <c r="G15" s="66" t="s">
        <v>120</v>
      </c>
      <c r="H15" s="52"/>
      <c r="I15" s="52"/>
      <c r="J15" s="52"/>
      <c r="K15" s="52"/>
      <c r="L15" s="52"/>
      <c r="M15" s="52"/>
      <c r="N15" s="52"/>
      <c r="O15" s="52"/>
      <c r="P15" s="52"/>
      <c r="Q15" s="52"/>
      <c r="R15" s="52"/>
      <c r="S15" s="52"/>
      <c r="T15" s="52"/>
      <c r="U15" s="52"/>
      <c r="V15" s="52"/>
      <c r="W15" s="52"/>
      <c r="X15" s="52"/>
      <c r="Y15" s="52"/>
      <c r="Z15" s="52"/>
      <c r="AA15" s="119"/>
      <c r="AB15" s="52"/>
      <c r="AC15" s="52"/>
      <c r="AD15" s="52" t="s">
        <v>1202</v>
      </c>
      <c r="AE15" s="119" t="s">
        <v>1203</v>
      </c>
      <c r="AF15" s="52" t="s">
        <v>1204</v>
      </c>
      <c r="AG15" s="52" t="s">
        <v>1205</v>
      </c>
      <c r="AH15" s="52" t="s">
        <v>1206</v>
      </c>
      <c r="AI15" s="52" t="s">
        <v>1207</v>
      </c>
      <c r="AJ15" s="52" t="s">
        <v>1208</v>
      </c>
      <c r="AK15" s="52"/>
      <c r="AL15" s="52" t="s">
        <v>1209</v>
      </c>
      <c r="AM15" s="52" t="s">
        <v>1210</v>
      </c>
      <c r="AN15" s="52" t="s">
        <v>1211</v>
      </c>
      <c r="AO15" s="52" t="s">
        <v>1212</v>
      </c>
      <c r="AP15" s="52" t="s">
        <v>1213</v>
      </c>
      <c r="AQ15" s="52" t="s">
        <v>1214</v>
      </c>
      <c r="AR15" s="52" t="s">
        <v>1215</v>
      </c>
      <c r="AS15" s="52" t="s">
        <v>1216</v>
      </c>
      <c r="AT15" s="52" t="s">
        <v>1217</v>
      </c>
      <c r="AU15" s="52" t="s">
        <v>1218</v>
      </c>
      <c r="AV15" s="52" t="s">
        <v>1219</v>
      </c>
      <c r="AW15" s="52" t="s">
        <v>1220</v>
      </c>
      <c r="AX15" s="52" t="s">
        <v>1221</v>
      </c>
      <c r="AY15" s="52" t="s">
        <v>1222</v>
      </c>
      <c r="AZ15" s="52" t="s">
        <v>1223</v>
      </c>
      <c r="BA15" s="52" t="s">
        <v>1224</v>
      </c>
      <c r="BB15" s="52" t="s">
        <v>1225</v>
      </c>
      <c r="BC15" s="190" t="s">
        <v>1226</v>
      </c>
      <c r="BD15" s="52" t="s">
        <v>1227</v>
      </c>
      <c r="BE15" s="52" t="s">
        <v>1228</v>
      </c>
      <c r="BF15" s="212" t="s">
        <v>1229</v>
      </c>
      <c r="BG15" s="52" t="s">
        <v>1885</v>
      </c>
      <c r="BH15" s="52" t="s">
        <v>1916</v>
      </c>
      <c r="BI15" s="52" t="s">
        <v>2056</v>
      </c>
      <c r="BJ15" s="52"/>
      <c r="BK15" s="52"/>
      <c r="BL15" s="118"/>
      <c r="BM15" s="113"/>
      <c r="BN15" s="112"/>
      <c r="BO15" s="113"/>
    </row>
    <row r="16" spans="1:1046" ht="78" customHeight="1" x14ac:dyDescent="0.35">
      <c r="B16" s="378" t="s">
        <v>1895</v>
      </c>
      <c r="C16" s="355" t="s">
        <v>1230</v>
      </c>
      <c r="D16" s="368" t="s">
        <v>81</v>
      </c>
      <c r="E16" s="355" t="s">
        <v>238</v>
      </c>
      <c r="F16" s="395" t="s">
        <v>1231</v>
      </c>
      <c r="G16" s="65" t="s">
        <v>84</v>
      </c>
      <c r="H16" s="51" t="s">
        <v>1232</v>
      </c>
      <c r="I16" s="51" t="s">
        <v>1233</v>
      </c>
      <c r="J16" s="51" t="s">
        <v>1234</v>
      </c>
      <c r="K16" s="51" t="s">
        <v>1235</v>
      </c>
      <c r="L16" s="51" t="s">
        <v>1236</v>
      </c>
      <c r="M16" s="51" t="s">
        <v>1237</v>
      </c>
      <c r="N16" s="51" t="s">
        <v>1238</v>
      </c>
      <c r="O16" s="51" t="s">
        <v>1239</v>
      </c>
      <c r="P16" s="51" t="s">
        <v>1240</v>
      </c>
      <c r="Q16" s="51" t="s">
        <v>1241</v>
      </c>
      <c r="R16" s="51" t="s">
        <v>1242</v>
      </c>
      <c r="S16" s="51" t="s">
        <v>1243</v>
      </c>
      <c r="T16" s="51" t="s">
        <v>1244</v>
      </c>
      <c r="U16" s="51" t="s">
        <v>1245</v>
      </c>
      <c r="V16" s="51" t="s">
        <v>1246</v>
      </c>
      <c r="W16" s="51" t="s">
        <v>1247</v>
      </c>
      <c r="X16" s="51" t="s">
        <v>1248</v>
      </c>
      <c r="Y16" s="51" t="s">
        <v>1249</v>
      </c>
      <c r="Z16" s="51" t="s">
        <v>1250</v>
      </c>
      <c r="AA16" s="51" t="s">
        <v>1251</v>
      </c>
      <c r="AB16" s="51" t="s">
        <v>1252</v>
      </c>
      <c r="AC16" s="51" t="s">
        <v>1253</v>
      </c>
      <c r="AD16" s="51" t="s">
        <v>1254</v>
      </c>
      <c r="AE16" s="51" t="s">
        <v>1255</v>
      </c>
      <c r="AF16" s="51" t="s">
        <v>1256</v>
      </c>
      <c r="AG16" s="51" t="s">
        <v>1257</v>
      </c>
      <c r="AH16" s="51" t="s">
        <v>1258</v>
      </c>
      <c r="AI16" s="51" t="s">
        <v>1259</v>
      </c>
      <c r="AJ16" s="51" t="s">
        <v>1260</v>
      </c>
      <c r="AK16" s="51" t="s">
        <v>1261</v>
      </c>
      <c r="AL16" s="51" t="s">
        <v>1262</v>
      </c>
      <c r="AM16" s="51" t="s">
        <v>1263</v>
      </c>
      <c r="AN16" s="51" t="s">
        <v>1264</v>
      </c>
      <c r="AO16" s="51" t="s">
        <v>1265</v>
      </c>
      <c r="AP16" s="51" t="s">
        <v>1266</v>
      </c>
      <c r="AQ16" s="51" t="s">
        <v>1267</v>
      </c>
      <c r="AR16" s="51" t="s">
        <v>1268</v>
      </c>
      <c r="AS16" s="51" t="s">
        <v>1269</v>
      </c>
      <c r="AT16" s="51" t="s">
        <v>1270</v>
      </c>
      <c r="AU16" s="51" t="s">
        <v>1271</v>
      </c>
      <c r="AV16" s="51" t="s">
        <v>1272</v>
      </c>
      <c r="AW16" s="51" t="s">
        <v>1273</v>
      </c>
      <c r="AX16" s="51" t="s">
        <v>1274</v>
      </c>
      <c r="AY16" s="51" t="s">
        <v>1275</v>
      </c>
      <c r="AZ16" s="51" t="s">
        <v>1276</v>
      </c>
      <c r="BA16" s="51" t="s">
        <v>1277</v>
      </c>
      <c r="BB16" s="51" t="s">
        <v>1278</v>
      </c>
      <c r="BC16" s="189" t="s">
        <v>1279</v>
      </c>
      <c r="BD16" s="51" t="s">
        <v>1280</v>
      </c>
      <c r="BE16" s="51" t="s">
        <v>1281</v>
      </c>
      <c r="BF16" s="210" t="s">
        <v>1282</v>
      </c>
      <c r="BG16" s="51" t="s">
        <v>1283</v>
      </c>
      <c r="BH16" s="51" t="s">
        <v>1874</v>
      </c>
      <c r="BI16" s="51" t="s">
        <v>1926</v>
      </c>
      <c r="BJ16" s="51" t="s">
        <v>2043</v>
      </c>
      <c r="BK16" s="51"/>
      <c r="BL16" s="176">
        <v>45869</v>
      </c>
      <c r="BM16" s="111">
        <v>45884</v>
      </c>
      <c r="BN16" s="111">
        <v>45962</v>
      </c>
      <c r="BO16" s="154">
        <v>46022</v>
      </c>
    </row>
    <row r="17" spans="2:68" ht="77.25" customHeight="1" x14ac:dyDescent="0.35">
      <c r="B17" s="378"/>
      <c r="C17" s="355"/>
      <c r="D17" s="368"/>
      <c r="E17" s="355"/>
      <c r="F17" s="395"/>
      <c r="G17" s="66" t="s">
        <v>120</v>
      </c>
      <c r="H17" s="52" t="s">
        <v>1284</v>
      </c>
      <c r="I17" s="52" t="s">
        <v>1285</v>
      </c>
      <c r="J17" s="52" t="s">
        <v>1286</v>
      </c>
      <c r="K17" s="52" t="s">
        <v>1287</v>
      </c>
      <c r="L17" s="345" t="s">
        <v>1288</v>
      </c>
      <c r="M17" s="345"/>
      <c r="N17" s="52" t="s">
        <v>1289</v>
      </c>
      <c r="O17" s="52" t="s">
        <v>1239</v>
      </c>
      <c r="P17" s="52" t="s">
        <v>1240</v>
      </c>
      <c r="Q17" s="52" t="s">
        <v>1290</v>
      </c>
      <c r="R17" s="52" t="s">
        <v>1242</v>
      </c>
      <c r="S17" s="52" t="s">
        <v>1291</v>
      </c>
      <c r="T17" s="51" t="s">
        <v>1292</v>
      </c>
      <c r="U17" s="52" t="s">
        <v>1293</v>
      </c>
      <c r="V17" s="52" t="s">
        <v>1294</v>
      </c>
      <c r="W17" s="52" t="s">
        <v>1295</v>
      </c>
      <c r="X17" s="52" t="s">
        <v>1296</v>
      </c>
      <c r="Y17" s="52" t="s">
        <v>1297</v>
      </c>
      <c r="Z17" s="52" t="s">
        <v>1298</v>
      </c>
      <c r="AA17" s="52" t="s">
        <v>1299</v>
      </c>
      <c r="AB17" s="52" t="s">
        <v>1300</v>
      </c>
      <c r="AC17" s="52" t="s">
        <v>1301</v>
      </c>
      <c r="AD17" s="52" t="s">
        <v>1302</v>
      </c>
      <c r="AE17" s="52" t="s">
        <v>1303</v>
      </c>
      <c r="AF17" s="52" t="s">
        <v>1304</v>
      </c>
      <c r="AG17" s="52" t="s">
        <v>1305</v>
      </c>
      <c r="AH17" s="52" t="s">
        <v>1306</v>
      </c>
      <c r="AI17" s="52" t="s">
        <v>1307</v>
      </c>
      <c r="AJ17" s="52" t="s">
        <v>1308</v>
      </c>
      <c r="AK17" s="52" t="s">
        <v>1309</v>
      </c>
      <c r="AL17" s="52" t="s">
        <v>1310</v>
      </c>
      <c r="AM17" s="52" t="s">
        <v>1311</v>
      </c>
      <c r="AN17" s="52" t="s">
        <v>1312</v>
      </c>
      <c r="AO17" s="52" t="s">
        <v>1313</v>
      </c>
      <c r="AP17" s="52" t="s">
        <v>1314</v>
      </c>
      <c r="AQ17" s="52" t="s">
        <v>1315</v>
      </c>
      <c r="AR17" s="52" t="s">
        <v>1316</v>
      </c>
      <c r="AS17" s="52" t="s">
        <v>1317</v>
      </c>
      <c r="AT17" s="52" t="s">
        <v>1318</v>
      </c>
      <c r="AU17" s="52" t="s">
        <v>1319</v>
      </c>
      <c r="AV17" s="52" t="s">
        <v>1320</v>
      </c>
      <c r="AW17" s="52" t="s">
        <v>1321</v>
      </c>
      <c r="AX17" s="52" t="s">
        <v>1322</v>
      </c>
      <c r="AY17" s="52" t="s">
        <v>1275</v>
      </c>
      <c r="AZ17" s="52" t="s">
        <v>1323</v>
      </c>
      <c r="BA17" s="52" t="s">
        <v>1324</v>
      </c>
      <c r="BB17" s="52" t="s">
        <v>1325</v>
      </c>
      <c r="BC17" s="190" t="s">
        <v>1326</v>
      </c>
      <c r="BD17" s="190" t="s">
        <v>1327</v>
      </c>
      <c r="BE17" s="52" t="s">
        <v>1328</v>
      </c>
      <c r="BF17" s="212" t="s">
        <v>1329</v>
      </c>
      <c r="BG17" s="52" t="s">
        <v>1872</v>
      </c>
      <c r="BH17" s="51" t="s">
        <v>1927</v>
      </c>
      <c r="BI17" s="52" t="s">
        <v>2045</v>
      </c>
      <c r="BJ17" s="52"/>
      <c r="BK17" s="52"/>
      <c r="BL17" s="118"/>
      <c r="BM17" s="113"/>
      <c r="BN17" s="112"/>
      <c r="BO17" s="113"/>
    </row>
    <row r="18" spans="2:68" ht="45.75" customHeight="1" x14ac:dyDescent="0.35">
      <c r="B18" s="355" t="s">
        <v>1330</v>
      </c>
      <c r="C18" s="353" t="s">
        <v>1049</v>
      </c>
      <c r="D18" s="355" t="s">
        <v>81</v>
      </c>
      <c r="E18" s="355" t="s">
        <v>238</v>
      </c>
      <c r="F18" s="392" t="s">
        <v>1331</v>
      </c>
      <c r="G18" s="67" t="s">
        <v>84</v>
      </c>
      <c r="H18" s="347" t="s">
        <v>1332</v>
      </c>
      <c r="I18" s="347"/>
      <c r="J18" s="347"/>
      <c r="K18" s="347"/>
      <c r="L18" s="347" t="s">
        <v>1332</v>
      </c>
      <c r="M18" s="347"/>
      <c r="N18" s="347"/>
      <c r="O18" s="347"/>
      <c r="P18" s="347" t="s">
        <v>1332</v>
      </c>
      <c r="Q18" s="347"/>
      <c r="R18" s="347"/>
      <c r="S18" s="347"/>
      <c r="T18" s="347" t="s">
        <v>1332</v>
      </c>
      <c r="U18" s="347"/>
      <c r="V18" s="347"/>
      <c r="W18" s="347"/>
      <c r="X18" s="347" t="s">
        <v>1332</v>
      </c>
      <c r="Y18" s="347"/>
      <c r="Z18" s="347"/>
      <c r="AA18" s="347"/>
      <c r="AB18" s="347"/>
      <c r="AC18" s="347" t="s">
        <v>1332</v>
      </c>
      <c r="AD18" s="347"/>
      <c r="AE18" s="347"/>
      <c r="AF18" s="347"/>
      <c r="AG18" s="347" t="s">
        <v>1333</v>
      </c>
      <c r="AH18" s="347"/>
      <c r="AI18" s="347"/>
      <c r="AJ18" s="347"/>
      <c r="AK18" s="358" t="s">
        <v>1333</v>
      </c>
      <c r="AL18" s="358"/>
      <c r="AM18" s="358"/>
      <c r="AN18" s="358"/>
      <c r="AO18" s="358"/>
      <c r="AP18" s="347" t="s">
        <v>1333</v>
      </c>
      <c r="AQ18" s="347"/>
      <c r="AR18" s="347"/>
      <c r="AS18" s="347"/>
      <c r="AT18" s="358" t="s">
        <v>1333</v>
      </c>
      <c r="AU18" s="358"/>
      <c r="AV18" s="358"/>
      <c r="AW18" s="358"/>
      <c r="AX18" s="358"/>
      <c r="AY18" s="358" t="s">
        <v>1333</v>
      </c>
      <c r="AZ18" s="358"/>
      <c r="BA18" s="358"/>
      <c r="BB18" s="358"/>
      <c r="BC18" s="359"/>
      <c r="BD18" s="358"/>
      <c r="BE18" s="358"/>
      <c r="BF18" s="360"/>
      <c r="BG18" s="358" t="s">
        <v>1333</v>
      </c>
      <c r="BH18" s="358"/>
      <c r="BI18" s="358"/>
      <c r="BJ18" s="358"/>
      <c r="BK18" s="358"/>
      <c r="BL18" s="176">
        <v>45413</v>
      </c>
      <c r="BM18" s="111">
        <v>45413</v>
      </c>
      <c r="BN18" s="114" t="s">
        <v>1334</v>
      </c>
      <c r="BO18" s="114" t="s">
        <v>1334</v>
      </c>
    </row>
    <row r="19" spans="2:68" ht="135.75" customHeight="1" x14ac:dyDescent="0.35">
      <c r="B19" s="355"/>
      <c r="C19" s="353"/>
      <c r="D19" s="355"/>
      <c r="E19" s="355"/>
      <c r="F19" s="392"/>
      <c r="G19" s="66" t="s">
        <v>120</v>
      </c>
      <c r="H19" s="345" t="s">
        <v>1335</v>
      </c>
      <c r="I19" s="345"/>
      <c r="J19" s="345"/>
      <c r="K19" s="345"/>
      <c r="L19" s="345" t="s">
        <v>1336</v>
      </c>
      <c r="M19" s="345"/>
      <c r="N19" s="345"/>
      <c r="O19" s="345"/>
      <c r="P19" s="345" t="s">
        <v>1337</v>
      </c>
      <c r="Q19" s="345"/>
      <c r="R19" s="345"/>
      <c r="S19" s="345"/>
      <c r="T19" s="345" t="s">
        <v>1338</v>
      </c>
      <c r="U19" s="345"/>
      <c r="V19" s="345"/>
      <c r="W19" s="345"/>
      <c r="X19" s="345" t="s">
        <v>1339</v>
      </c>
      <c r="Y19" s="345"/>
      <c r="Z19" s="345"/>
      <c r="AA19" s="345"/>
      <c r="AB19" s="345"/>
      <c r="AC19" s="345" t="s">
        <v>1340</v>
      </c>
      <c r="AD19" s="345"/>
      <c r="AE19" s="345"/>
      <c r="AF19" s="345"/>
      <c r="AG19" s="345" t="s">
        <v>1341</v>
      </c>
      <c r="AH19" s="345"/>
      <c r="AI19" s="345"/>
      <c r="AJ19" s="345"/>
      <c r="AK19" s="343" t="s">
        <v>1342</v>
      </c>
      <c r="AL19" s="343"/>
      <c r="AM19" s="343"/>
      <c r="AN19" s="343"/>
      <c r="AO19" s="343"/>
      <c r="AP19" s="345" t="s">
        <v>1343</v>
      </c>
      <c r="AQ19" s="345"/>
      <c r="AR19" s="345"/>
      <c r="AS19" s="345"/>
      <c r="AT19" s="343" t="s">
        <v>1344</v>
      </c>
      <c r="AU19" s="343"/>
      <c r="AV19" s="343"/>
      <c r="AW19" s="343"/>
      <c r="AX19" s="343"/>
      <c r="AY19" s="343" t="s">
        <v>1345</v>
      </c>
      <c r="AZ19" s="343"/>
      <c r="BA19" s="343"/>
      <c r="BB19" s="343"/>
      <c r="BC19" s="393" t="s">
        <v>1346</v>
      </c>
      <c r="BD19" s="343"/>
      <c r="BE19" s="343"/>
      <c r="BF19" s="394"/>
      <c r="BG19" s="355"/>
      <c r="BH19" s="355"/>
      <c r="BI19" s="355"/>
      <c r="BJ19" s="355"/>
      <c r="BK19" s="355"/>
      <c r="BL19" s="118"/>
      <c r="BM19" s="112"/>
      <c r="BN19" s="112"/>
      <c r="BO19" s="112"/>
    </row>
    <row r="20" spans="2:68" ht="48.75" customHeight="1" x14ac:dyDescent="0.35">
      <c r="B20" s="355" t="s">
        <v>1347</v>
      </c>
      <c r="C20" s="355" t="s">
        <v>1348</v>
      </c>
      <c r="D20" s="353" t="s">
        <v>543</v>
      </c>
      <c r="E20" s="353" t="s">
        <v>238</v>
      </c>
      <c r="F20" s="375"/>
      <c r="G20" s="65" t="s">
        <v>84</v>
      </c>
      <c r="H20" s="347" t="s">
        <v>1349</v>
      </c>
      <c r="I20" s="347"/>
      <c r="J20" s="347"/>
      <c r="K20" s="347"/>
      <c r="L20" s="347" t="s">
        <v>1350</v>
      </c>
      <c r="M20" s="347"/>
      <c r="N20" s="347"/>
      <c r="O20" s="347"/>
      <c r="P20" s="53" t="s">
        <v>1351</v>
      </c>
      <c r="Q20" s="51" t="s">
        <v>1352</v>
      </c>
      <c r="R20" s="51" t="s">
        <v>1353</v>
      </c>
      <c r="S20" s="51" t="s">
        <v>1354</v>
      </c>
      <c r="T20" s="347" t="s">
        <v>1355</v>
      </c>
      <c r="U20" s="347"/>
      <c r="V20" s="347"/>
      <c r="W20" s="347"/>
      <c r="X20" s="347" t="s">
        <v>1356</v>
      </c>
      <c r="Y20" s="347"/>
      <c r="Z20" s="347"/>
      <c r="AA20" s="347"/>
      <c r="AB20" s="347"/>
      <c r="AC20" s="347" t="s">
        <v>1357</v>
      </c>
      <c r="AD20" s="347"/>
      <c r="AE20" s="347"/>
      <c r="AF20" s="347"/>
      <c r="AG20" s="347" t="s">
        <v>1358</v>
      </c>
      <c r="AH20" s="347"/>
      <c r="AI20" s="347"/>
      <c r="AJ20" s="347"/>
      <c r="AK20" s="358" t="s">
        <v>1359</v>
      </c>
      <c r="AL20" s="358"/>
      <c r="AM20" s="358"/>
      <c r="AN20" s="358"/>
      <c r="AO20" s="358"/>
      <c r="AP20" s="347" t="s">
        <v>1360</v>
      </c>
      <c r="AQ20" s="347"/>
      <c r="AR20" s="347"/>
      <c r="AS20" s="347"/>
      <c r="AT20" s="354"/>
      <c r="AU20" s="354"/>
      <c r="AV20" s="354"/>
      <c r="AW20" s="354"/>
      <c r="AX20" s="354"/>
      <c r="AY20" s="354"/>
      <c r="AZ20" s="354"/>
      <c r="BA20" s="354"/>
      <c r="BB20" s="354"/>
      <c r="BC20" s="388"/>
      <c r="BD20" s="354"/>
      <c r="BE20" s="354"/>
      <c r="BF20" s="389"/>
      <c r="BG20" s="354"/>
      <c r="BH20" s="354"/>
      <c r="BI20" s="354"/>
      <c r="BJ20" s="354"/>
      <c r="BK20" s="354"/>
      <c r="BL20" s="213" t="s">
        <v>160</v>
      </c>
      <c r="BM20" s="124" t="s">
        <v>1361</v>
      </c>
      <c r="BN20" s="124" t="s">
        <v>1362</v>
      </c>
      <c r="BO20" s="155" t="s">
        <v>1363</v>
      </c>
    </row>
    <row r="21" spans="2:68" ht="48.75" customHeight="1" x14ac:dyDescent="0.35">
      <c r="B21" s="355"/>
      <c r="C21" s="355"/>
      <c r="D21" s="353"/>
      <c r="E21" s="353"/>
      <c r="F21" s="375"/>
      <c r="G21" s="66" t="s">
        <v>120</v>
      </c>
      <c r="H21" s="345" t="s">
        <v>1364</v>
      </c>
      <c r="I21" s="345"/>
      <c r="J21" s="345"/>
      <c r="K21" s="345"/>
      <c r="L21" s="346" t="s">
        <v>1365</v>
      </c>
      <c r="M21" s="346"/>
      <c r="N21" s="346"/>
      <c r="O21" s="346"/>
      <c r="P21" s="98"/>
      <c r="Q21" s="52" t="s">
        <v>1366</v>
      </c>
      <c r="R21" s="52" t="s">
        <v>1367</v>
      </c>
      <c r="S21" s="52" t="s">
        <v>1368</v>
      </c>
      <c r="T21" s="343" t="s">
        <v>1369</v>
      </c>
      <c r="U21" s="344"/>
      <c r="V21" s="344"/>
      <c r="W21" s="344"/>
      <c r="X21" s="343" t="s">
        <v>1370</v>
      </c>
      <c r="Y21" s="344"/>
      <c r="Z21" s="344"/>
      <c r="AA21" s="344"/>
      <c r="AB21" s="344"/>
      <c r="AC21" s="355" t="s">
        <v>1371</v>
      </c>
      <c r="AD21" s="353"/>
      <c r="AE21" s="353"/>
      <c r="AF21" s="353"/>
      <c r="AG21" s="353"/>
      <c r="AH21" s="353"/>
      <c r="AI21" s="353"/>
      <c r="AJ21" s="353"/>
      <c r="AK21" s="355" t="s">
        <v>1372</v>
      </c>
      <c r="AL21" s="353"/>
      <c r="AM21" s="353"/>
      <c r="AN21" s="353"/>
      <c r="AO21" s="353"/>
      <c r="AP21" s="353"/>
      <c r="AQ21" s="353"/>
      <c r="AR21" s="353"/>
      <c r="AS21" s="353"/>
      <c r="AT21" s="353"/>
      <c r="AU21" s="353"/>
      <c r="AV21" s="353"/>
      <c r="AW21" s="353"/>
      <c r="AX21" s="353"/>
      <c r="AY21" s="353"/>
      <c r="AZ21" s="353"/>
      <c r="BA21" s="353"/>
      <c r="BB21" s="353"/>
      <c r="BC21" s="390"/>
      <c r="BD21" s="353"/>
      <c r="BE21" s="353"/>
      <c r="BF21" s="391"/>
      <c r="BG21" s="353"/>
      <c r="BH21" s="353"/>
      <c r="BI21" s="353"/>
      <c r="BJ21" s="353"/>
      <c r="BK21" s="353"/>
      <c r="BL21" s="214"/>
      <c r="BM21" s="126"/>
      <c r="BN21" s="125">
        <v>45771</v>
      </c>
      <c r="BO21" s="126"/>
    </row>
    <row r="22" spans="2:68" ht="48" customHeight="1" x14ac:dyDescent="0.35">
      <c r="B22" s="355" t="s">
        <v>1373</v>
      </c>
      <c r="C22" s="355" t="s">
        <v>1374</v>
      </c>
      <c r="D22" s="375"/>
      <c r="E22" s="355"/>
      <c r="F22" s="357" t="s">
        <v>1375</v>
      </c>
      <c r="G22" s="198" t="s">
        <v>84</v>
      </c>
      <c r="H22" s="347" t="s">
        <v>1376</v>
      </c>
      <c r="I22" s="347"/>
      <c r="J22" s="347"/>
      <c r="K22" s="347"/>
      <c r="L22" s="347" t="s">
        <v>1377</v>
      </c>
      <c r="M22" s="347"/>
      <c r="N22" s="347"/>
      <c r="O22" s="347"/>
      <c r="P22" s="376"/>
      <c r="Q22" s="376"/>
      <c r="R22" s="376"/>
      <c r="S22" s="376"/>
      <c r="T22" s="376" t="s">
        <v>1378</v>
      </c>
      <c r="U22" s="376"/>
      <c r="V22" s="376"/>
      <c r="W22" s="376"/>
      <c r="X22" s="347" t="s">
        <v>1379</v>
      </c>
      <c r="Y22" s="347"/>
      <c r="Z22" s="347"/>
      <c r="AA22" s="347"/>
      <c r="AB22" s="347"/>
      <c r="AC22" s="347"/>
      <c r="AD22" s="347"/>
      <c r="AE22" s="347"/>
      <c r="AF22" s="347"/>
      <c r="AG22" s="347" t="s">
        <v>1380</v>
      </c>
      <c r="AH22" s="347"/>
      <c r="AI22" s="347"/>
      <c r="AJ22" s="347"/>
      <c r="AK22" s="354"/>
      <c r="AL22" s="354"/>
      <c r="AM22" s="354"/>
      <c r="AN22" s="354"/>
      <c r="AO22" s="354"/>
      <c r="AP22" s="347"/>
      <c r="AQ22" s="347"/>
      <c r="AR22" s="347"/>
      <c r="AS22" s="347"/>
      <c r="AT22" s="354"/>
      <c r="AU22" s="354"/>
      <c r="AV22" s="354"/>
      <c r="AW22" s="354"/>
      <c r="AX22" s="354"/>
      <c r="AY22" s="354"/>
      <c r="AZ22" s="354"/>
      <c r="BA22" s="354"/>
      <c r="BB22" s="354"/>
      <c r="BC22" s="388"/>
      <c r="BD22" s="354"/>
      <c r="BE22" s="354"/>
      <c r="BF22" s="389"/>
      <c r="BG22" s="354"/>
      <c r="BH22" s="354"/>
      <c r="BI22" s="354"/>
      <c r="BJ22" s="354"/>
      <c r="BK22" s="354"/>
      <c r="BL22" s="215">
        <v>45709</v>
      </c>
      <c r="BM22" s="123">
        <v>45817</v>
      </c>
      <c r="BN22" s="123">
        <v>45860</v>
      </c>
      <c r="BO22" s="123">
        <v>45883</v>
      </c>
    </row>
    <row r="23" spans="2:68" ht="48" customHeight="1" x14ac:dyDescent="0.35">
      <c r="B23" s="355"/>
      <c r="C23" s="355"/>
      <c r="D23" s="375"/>
      <c r="E23" s="355"/>
      <c r="F23" s="357"/>
      <c r="G23" s="66" t="s">
        <v>120</v>
      </c>
      <c r="H23" s="345" t="s">
        <v>1381</v>
      </c>
      <c r="I23" s="345"/>
      <c r="J23" s="345"/>
      <c r="K23" s="345"/>
      <c r="L23" s="346" t="s">
        <v>1382</v>
      </c>
      <c r="M23" s="346"/>
      <c r="N23" s="346"/>
      <c r="O23" s="346"/>
      <c r="P23" s="346" t="s">
        <v>1383</v>
      </c>
      <c r="Q23" s="346"/>
      <c r="R23" s="346"/>
      <c r="S23" s="346"/>
      <c r="T23" s="374"/>
      <c r="U23" s="374"/>
      <c r="V23" s="374"/>
      <c r="W23" s="374"/>
      <c r="X23" s="345" t="s">
        <v>1384</v>
      </c>
      <c r="Y23" s="346"/>
      <c r="Z23" s="346"/>
      <c r="AA23" s="346"/>
      <c r="AB23" s="346"/>
      <c r="AC23" s="345" t="s">
        <v>1385</v>
      </c>
      <c r="AD23" s="346"/>
      <c r="AE23" s="346"/>
      <c r="AF23" s="346"/>
      <c r="AG23" s="346"/>
      <c r="AH23" s="346"/>
      <c r="AI23" s="346"/>
      <c r="AJ23" s="346"/>
      <c r="AK23" s="353"/>
      <c r="AL23" s="353"/>
      <c r="AM23" s="353"/>
      <c r="AN23" s="353"/>
      <c r="AO23" s="353"/>
      <c r="AP23" s="346"/>
      <c r="AQ23" s="346"/>
      <c r="AR23" s="346"/>
      <c r="AS23" s="346"/>
      <c r="AT23" s="353"/>
      <c r="AU23" s="353"/>
      <c r="AV23" s="353"/>
      <c r="AW23" s="353"/>
      <c r="AX23" s="353"/>
      <c r="AY23" s="353"/>
      <c r="AZ23" s="353"/>
      <c r="BA23" s="353"/>
      <c r="BB23" s="353"/>
      <c r="BC23" s="390"/>
      <c r="BD23" s="353"/>
      <c r="BE23" s="353"/>
      <c r="BF23" s="391"/>
      <c r="BG23" s="353"/>
      <c r="BH23" s="353"/>
      <c r="BI23" s="353"/>
      <c r="BJ23" s="353"/>
      <c r="BK23" s="353"/>
      <c r="BL23" s="216">
        <v>45709</v>
      </c>
      <c r="BM23" s="115"/>
      <c r="BN23" s="115"/>
      <c r="BO23" s="115"/>
    </row>
    <row r="24" spans="2:68" ht="36.75" customHeight="1" x14ac:dyDescent="0.35">
      <c r="B24" s="355" t="s">
        <v>1386</v>
      </c>
      <c r="C24" s="355" t="s">
        <v>1387</v>
      </c>
      <c r="D24" s="375"/>
      <c r="E24" s="355"/>
      <c r="F24" s="375" t="s">
        <v>1388</v>
      </c>
      <c r="G24" s="67" t="s">
        <v>84</v>
      </c>
      <c r="H24" s="51"/>
      <c r="I24" s="51"/>
      <c r="J24" s="51"/>
      <c r="K24" s="51"/>
      <c r="L24" s="347"/>
      <c r="M24" s="347"/>
      <c r="N24" s="347"/>
      <c r="O24" s="347"/>
      <c r="P24" s="53"/>
      <c r="Q24" s="53"/>
      <c r="R24" s="53"/>
      <c r="S24" s="51"/>
      <c r="T24" s="51"/>
      <c r="U24" s="51"/>
      <c r="V24" s="51"/>
      <c r="W24" s="51"/>
      <c r="X24" s="347"/>
      <c r="Y24" s="347"/>
      <c r="Z24" s="347"/>
      <c r="AA24" s="347"/>
      <c r="AB24" s="347"/>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88"/>
      <c r="BD24" s="354"/>
      <c r="BE24" s="354"/>
      <c r="BF24" s="389"/>
      <c r="BG24" s="354"/>
      <c r="BH24" s="354"/>
      <c r="BI24" s="354"/>
      <c r="BJ24" s="354"/>
      <c r="BK24" s="354"/>
      <c r="BL24" s="150"/>
      <c r="BM24" s="114"/>
      <c r="BN24" s="114"/>
      <c r="BO24" s="114"/>
    </row>
    <row r="25" spans="2:68" ht="36.75" customHeight="1" x14ac:dyDescent="0.35">
      <c r="B25" s="355"/>
      <c r="C25" s="355"/>
      <c r="D25" s="375"/>
      <c r="E25" s="355"/>
      <c r="F25" s="375"/>
      <c r="G25" s="66" t="s">
        <v>120</v>
      </c>
      <c r="H25" s="52"/>
      <c r="I25" s="52"/>
      <c r="J25" s="52"/>
      <c r="K25" s="52"/>
      <c r="L25" s="62"/>
      <c r="M25" s="62"/>
      <c r="N25" s="62"/>
      <c r="O25" s="62"/>
      <c r="P25" s="62"/>
      <c r="Q25" s="62"/>
      <c r="R25" s="62"/>
      <c r="S25" s="62"/>
      <c r="T25" s="98"/>
      <c r="U25" s="98"/>
      <c r="V25" s="98"/>
      <c r="W25" s="98"/>
      <c r="X25" s="345" t="s">
        <v>1389</v>
      </c>
      <c r="Y25" s="346"/>
      <c r="Z25" s="346"/>
      <c r="AA25" s="346"/>
      <c r="AB25" s="346"/>
      <c r="AC25" s="343" t="s">
        <v>1390</v>
      </c>
      <c r="AD25" s="344"/>
      <c r="AE25" s="344"/>
      <c r="AF25" s="344"/>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90"/>
      <c r="BD25" s="353"/>
      <c r="BE25" s="353"/>
      <c r="BF25" s="391"/>
      <c r="BG25" s="353"/>
      <c r="BH25" s="353"/>
      <c r="BI25" s="353"/>
      <c r="BJ25" s="353"/>
      <c r="BK25" s="353"/>
      <c r="BL25" s="216"/>
      <c r="BM25" s="115"/>
      <c r="BN25" s="115"/>
      <c r="BO25" s="115"/>
    </row>
    <row r="26" spans="2:68" ht="85.5" hidden="1" customHeight="1" x14ac:dyDescent="0.35">
      <c r="B26" s="383" t="s">
        <v>1391</v>
      </c>
      <c r="C26" s="384" t="s">
        <v>1392</v>
      </c>
      <c r="D26" s="385" t="s">
        <v>81</v>
      </c>
      <c r="E26" s="385" t="s">
        <v>1393</v>
      </c>
      <c r="F26" s="386" t="s">
        <v>1394</v>
      </c>
      <c r="G26" s="148" t="s">
        <v>84</v>
      </c>
      <c r="H26" s="106" t="s">
        <v>1395</v>
      </c>
      <c r="I26" s="106" t="s">
        <v>1396</v>
      </c>
      <c r="J26" s="106" t="s">
        <v>1397</v>
      </c>
      <c r="K26" s="106" t="s">
        <v>1398</v>
      </c>
      <c r="L26" s="387" t="s">
        <v>1399</v>
      </c>
      <c r="M26" s="387"/>
      <c r="N26" s="387"/>
      <c r="O26" s="387"/>
      <c r="P26" s="387" t="s">
        <v>1400</v>
      </c>
      <c r="Q26" s="387"/>
      <c r="R26" s="387"/>
      <c r="S26" s="387"/>
      <c r="T26" s="382"/>
      <c r="U26" s="382"/>
      <c r="V26" s="382"/>
      <c r="W26" s="382"/>
      <c r="X26" s="382"/>
      <c r="Y26" s="382"/>
      <c r="Z26" s="382"/>
      <c r="AA26" s="382"/>
      <c r="AB26" s="382"/>
      <c r="AC26" s="382"/>
      <c r="AD26" s="382"/>
      <c r="AE26" s="382"/>
      <c r="AF26" s="382"/>
      <c r="AG26" s="382"/>
      <c r="AH26" s="382"/>
      <c r="AI26" s="382"/>
      <c r="AJ26" s="382"/>
      <c r="AK26" s="140"/>
      <c r="AL26" s="140"/>
      <c r="AM26" s="140"/>
      <c r="AN26" s="140"/>
      <c r="AO26" s="140"/>
      <c r="AP26" s="382"/>
      <c r="AQ26" s="382"/>
      <c r="AR26" s="382"/>
      <c r="AS26" s="382"/>
      <c r="AT26" s="140"/>
      <c r="AU26" s="140"/>
      <c r="AV26" s="140"/>
      <c r="AW26" s="140"/>
      <c r="AX26" s="140"/>
      <c r="AY26" s="140"/>
      <c r="AZ26" s="140"/>
      <c r="BA26" s="140"/>
      <c r="BB26" s="140"/>
      <c r="BC26" s="140"/>
      <c r="BD26" s="140"/>
      <c r="BE26" s="140"/>
      <c r="BF26" s="140"/>
      <c r="BG26" s="140"/>
      <c r="BH26" s="140"/>
      <c r="BI26" s="140"/>
      <c r="BJ26" s="140"/>
      <c r="BK26" s="140"/>
      <c r="BL26" s="149">
        <v>45477</v>
      </c>
      <c r="BM26" s="117">
        <v>45504</v>
      </c>
      <c r="BN26" s="117">
        <v>45621</v>
      </c>
      <c r="BO26" s="117">
        <v>45716</v>
      </c>
    </row>
    <row r="27" spans="2:68" ht="106.5" hidden="1" customHeight="1" x14ac:dyDescent="0.35">
      <c r="B27" s="367"/>
      <c r="C27" s="378"/>
      <c r="D27" s="355"/>
      <c r="E27" s="355"/>
      <c r="F27" s="357"/>
      <c r="G27" s="66" t="s">
        <v>120</v>
      </c>
      <c r="H27" s="52" t="s">
        <v>1401</v>
      </c>
      <c r="I27" s="52" t="s">
        <v>1402</v>
      </c>
      <c r="J27" s="52" t="s">
        <v>1403</v>
      </c>
      <c r="K27" s="52" t="s">
        <v>1404</v>
      </c>
      <c r="L27" s="345" t="s">
        <v>1405</v>
      </c>
      <c r="M27" s="345"/>
      <c r="N27" s="345"/>
      <c r="O27" s="345"/>
      <c r="P27" s="345" t="s">
        <v>1406</v>
      </c>
      <c r="Q27" s="345"/>
      <c r="R27" s="345"/>
      <c r="S27" s="345"/>
      <c r="T27" s="381"/>
      <c r="U27" s="381"/>
      <c r="V27" s="381"/>
      <c r="W27" s="381"/>
      <c r="X27" s="381"/>
      <c r="Y27" s="381"/>
      <c r="Z27" s="381"/>
      <c r="AA27" s="381"/>
      <c r="AB27" s="381"/>
      <c r="AC27" s="381"/>
      <c r="AD27" s="381"/>
      <c r="AE27" s="381"/>
      <c r="AF27" s="381"/>
      <c r="AG27" s="381"/>
      <c r="AH27" s="381"/>
      <c r="AI27" s="381"/>
      <c r="AJ27" s="381"/>
      <c r="AK27" s="141"/>
      <c r="AL27" s="141"/>
      <c r="AM27" s="141"/>
      <c r="AN27" s="141"/>
      <c r="AO27" s="141"/>
      <c r="AP27" s="381"/>
      <c r="AQ27" s="381"/>
      <c r="AR27" s="381"/>
      <c r="AS27" s="381"/>
      <c r="AT27" s="141"/>
      <c r="AU27" s="141"/>
      <c r="AV27" s="141"/>
      <c r="AW27" s="141"/>
      <c r="AX27" s="141"/>
      <c r="AY27" s="141"/>
      <c r="AZ27" s="141"/>
      <c r="BA27" s="141"/>
      <c r="BB27" s="141"/>
      <c r="BC27" s="141"/>
      <c r="BD27" s="141"/>
      <c r="BE27" s="141"/>
      <c r="BF27" s="141"/>
      <c r="BG27" s="141"/>
      <c r="BH27" s="141"/>
      <c r="BI27" s="141"/>
      <c r="BJ27" s="141"/>
      <c r="BK27" s="141"/>
      <c r="BL27" s="118">
        <v>45477</v>
      </c>
      <c r="BM27" s="112">
        <v>45533</v>
      </c>
      <c r="BN27" s="112">
        <v>45624</v>
      </c>
      <c r="BO27" s="112"/>
    </row>
    <row r="28" spans="2:68" ht="64.5" hidden="1" customHeight="1" x14ac:dyDescent="0.35">
      <c r="B28" s="377" t="s">
        <v>1407</v>
      </c>
      <c r="C28" s="355" t="s">
        <v>1408</v>
      </c>
      <c r="D28" s="355" t="s">
        <v>81</v>
      </c>
      <c r="E28" s="355" t="s">
        <v>238</v>
      </c>
      <c r="F28" s="375" t="s">
        <v>1409</v>
      </c>
      <c r="G28" s="67" t="s">
        <v>84</v>
      </c>
      <c r="H28" s="51" t="s">
        <v>1410</v>
      </c>
      <c r="I28" s="51" t="s">
        <v>1411</v>
      </c>
      <c r="J28" s="51" t="s">
        <v>1412</v>
      </c>
      <c r="K28" s="51" t="s">
        <v>1413</v>
      </c>
      <c r="L28" s="347" t="s">
        <v>1414</v>
      </c>
      <c r="M28" s="347"/>
      <c r="N28" s="347"/>
      <c r="O28" s="347"/>
      <c r="P28" s="376"/>
      <c r="Q28" s="376"/>
      <c r="R28" s="376"/>
      <c r="S28" s="376"/>
      <c r="T28" s="379"/>
      <c r="U28" s="379"/>
      <c r="V28" s="379"/>
      <c r="W28" s="379"/>
      <c r="X28" s="379"/>
      <c r="Y28" s="379"/>
      <c r="Z28" s="379"/>
      <c r="AA28" s="379"/>
      <c r="AB28" s="379"/>
      <c r="AC28" s="379"/>
      <c r="AD28" s="379"/>
      <c r="AE28" s="379"/>
      <c r="AF28" s="379"/>
      <c r="AG28" s="379"/>
      <c r="AH28" s="379"/>
      <c r="AI28" s="379"/>
      <c r="AJ28" s="379"/>
      <c r="AK28" s="142"/>
      <c r="AL28" s="142"/>
      <c r="AM28" s="142"/>
      <c r="AN28" s="142"/>
      <c r="AO28" s="142"/>
      <c r="AP28" s="379"/>
      <c r="AQ28" s="379"/>
      <c r="AR28" s="379"/>
      <c r="AS28" s="379"/>
      <c r="AT28" s="142"/>
      <c r="AU28" s="142"/>
      <c r="AV28" s="142"/>
      <c r="AW28" s="142"/>
      <c r="AX28" s="142"/>
      <c r="AY28" s="142"/>
      <c r="AZ28" s="142"/>
      <c r="BA28" s="142"/>
      <c r="BB28" s="142"/>
      <c r="BC28" s="142"/>
      <c r="BD28" s="142"/>
      <c r="BE28" s="142"/>
      <c r="BF28" s="142"/>
      <c r="BG28" s="142"/>
      <c r="BH28" s="142"/>
      <c r="BI28" s="142"/>
      <c r="BJ28" s="142"/>
      <c r="BK28" s="142"/>
      <c r="BL28" s="150">
        <v>45505</v>
      </c>
      <c r="BM28" s="114">
        <v>45534</v>
      </c>
      <c r="BN28" s="114">
        <v>45595</v>
      </c>
      <c r="BO28" s="114">
        <v>45656</v>
      </c>
    </row>
    <row r="29" spans="2:68" ht="54" hidden="1" customHeight="1" x14ac:dyDescent="0.35">
      <c r="B29" s="377"/>
      <c r="C29" s="355"/>
      <c r="D29" s="355"/>
      <c r="E29" s="355"/>
      <c r="F29" s="375"/>
      <c r="G29" s="66" t="s">
        <v>120</v>
      </c>
      <c r="H29" s="52" t="s">
        <v>1415</v>
      </c>
      <c r="I29" s="52" t="s">
        <v>1416</v>
      </c>
      <c r="J29" s="52" t="s">
        <v>1417</v>
      </c>
      <c r="K29" s="52" t="s">
        <v>1418</v>
      </c>
      <c r="L29" s="345" t="s">
        <v>1419</v>
      </c>
      <c r="M29" s="345"/>
      <c r="N29" s="345"/>
      <c r="O29" s="345"/>
      <c r="P29" s="380"/>
      <c r="Q29" s="380"/>
      <c r="R29" s="380"/>
      <c r="S29" s="380"/>
      <c r="T29" s="381"/>
      <c r="U29" s="381"/>
      <c r="V29" s="381"/>
      <c r="W29" s="381"/>
      <c r="X29" s="381"/>
      <c r="Y29" s="381"/>
      <c r="Z29" s="381"/>
      <c r="AA29" s="381"/>
      <c r="AB29" s="381"/>
      <c r="AC29" s="381"/>
      <c r="AD29" s="381"/>
      <c r="AE29" s="381"/>
      <c r="AF29" s="381"/>
      <c r="AG29" s="381"/>
      <c r="AH29" s="381"/>
      <c r="AI29" s="381"/>
      <c r="AJ29" s="381"/>
      <c r="AK29" s="141"/>
      <c r="AL29" s="141"/>
      <c r="AM29" s="141"/>
      <c r="AN29" s="141"/>
      <c r="AO29" s="141"/>
      <c r="AP29" s="381"/>
      <c r="AQ29" s="381"/>
      <c r="AR29" s="381"/>
      <c r="AS29" s="381"/>
      <c r="AT29" s="141"/>
      <c r="AU29" s="141"/>
      <c r="AV29" s="141"/>
      <c r="AW29" s="141"/>
      <c r="AX29" s="141"/>
      <c r="AY29" s="141"/>
      <c r="AZ29" s="141"/>
      <c r="BA29" s="141"/>
      <c r="BB29" s="141"/>
      <c r="BC29" s="141"/>
      <c r="BD29" s="141"/>
      <c r="BE29" s="141"/>
      <c r="BF29" s="141"/>
      <c r="BG29" s="141"/>
      <c r="BH29" s="141"/>
      <c r="BI29" s="141"/>
      <c r="BJ29" s="141"/>
      <c r="BK29" s="141"/>
      <c r="BL29" s="118"/>
      <c r="BM29" s="112"/>
      <c r="BN29" s="112"/>
      <c r="BO29" s="112"/>
      <c r="BP29" s="151"/>
    </row>
    <row r="30" spans="2:68" ht="45.75" hidden="1" customHeight="1" x14ac:dyDescent="0.35">
      <c r="B30" s="377" t="s">
        <v>1420</v>
      </c>
      <c r="C30" s="378" t="s">
        <v>1421</v>
      </c>
      <c r="D30" s="375" t="s">
        <v>238</v>
      </c>
      <c r="E30" s="355" t="s">
        <v>544</v>
      </c>
      <c r="F30" s="357" t="s">
        <v>1422</v>
      </c>
      <c r="G30" s="65" t="s">
        <v>84</v>
      </c>
      <c r="H30" s="51" t="s">
        <v>1423</v>
      </c>
      <c r="I30" s="51" t="s">
        <v>1424</v>
      </c>
      <c r="J30" s="51" t="s">
        <v>1425</v>
      </c>
      <c r="K30" s="51" t="s">
        <v>1426</v>
      </c>
      <c r="L30" s="51" t="s">
        <v>1427</v>
      </c>
      <c r="M30" s="51" t="s">
        <v>1428</v>
      </c>
      <c r="N30" s="51" t="s">
        <v>1429</v>
      </c>
      <c r="O30" s="51" t="s">
        <v>1430</v>
      </c>
      <c r="P30" s="51" t="s">
        <v>1431</v>
      </c>
      <c r="Q30" s="51" t="s">
        <v>1432</v>
      </c>
      <c r="R30" s="51" t="s">
        <v>1433</v>
      </c>
      <c r="S30" s="51" t="s">
        <v>1434</v>
      </c>
      <c r="T30" s="51" t="s">
        <v>1435</v>
      </c>
      <c r="U30" s="51" t="s">
        <v>1436</v>
      </c>
      <c r="V30" s="51" t="s">
        <v>1437</v>
      </c>
      <c r="W30" s="51" t="s">
        <v>1438</v>
      </c>
      <c r="X30" s="51" t="s">
        <v>1439</v>
      </c>
      <c r="Y30" s="51" t="s">
        <v>1440</v>
      </c>
      <c r="Z30" s="51" t="s">
        <v>1441</v>
      </c>
      <c r="AA30" s="51" t="s">
        <v>1442</v>
      </c>
      <c r="AB30" s="51" t="s">
        <v>1443</v>
      </c>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111">
        <v>45519</v>
      </c>
      <c r="BM30" s="111">
        <v>45550</v>
      </c>
      <c r="BN30" s="111">
        <v>45708</v>
      </c>
      <c r="BO30" s="111">
        <v>45797</v>
      </c>
    </row>
    <row r="31" spans="2:68" ht="89.25" hidden="1" customHeight="1" x14ac:dyDescent="0.35">
      <c r="B31" s="377"/>
      <c r="C31" s="378"/>
      <c r="D31" s="375"/>
      <c r="E31" s="355"/>
      <c r="F31" s="357"/>
      <c r="G31" s="66" t="s">
        <v>120</v>
      </c>
      <c r="H31" s="52" t="s">
        <v>1444</v>
      </c>
      <c r="I31" s="52" t="s">
        <v>1445</v>
      </c>
      <c r="J31" s="52" t="s">
        <v>1446</v>
      </c>
      <c r="K31" s="52" t="s">
        <v>1447</v>
      </c>
      <c r="L31" s="52" t="s">
        <v>1448</v>
      </c>
      <c r="M31" s="52" t="s">
        <v>1449</v>
      </c>
      <c r="N31" s="52" t="s">
        <v>1450</v>
      </c>
      <c r="O31" s="52" t="s">
        <v>1451</v>
      </c>
      <c r="P31" s="52" t="s">
        <v>1452</v>
      </c>
      <c r="Q31" s="52" t="s">
        <v>1453</v>
      </c>
      <c r="R31" s="52" t="s">
        <v>1454</v>
      </c>
      <c r="S31" s="52" t="s">
        <v>1455</v>
      </c>
      <c r="T31" s="52" t="s">
        <v>1456</v>
      </c>
      <c r="U31" s="52" t="s">
        <v>1457</v>
      </c>
      <c r="V31" s="52" t="s">
        <v>1458</v>
      </c>
      <c r="W31" s="52" t="s">
        <v>1459</v>
      </c>
      <c r="X31" s="52" t="s">
        <v>1460</v>
      </c>
      <c r="Y31" s="52" t="s">
        <v>1461</v>
      </c>
      <c r="Z31" s="52" t="s">
        <v>1462</v>
      </c>
      <c r="AA31" s="52" t="s">
        <v>1463</v>
      </c>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112"/>
      <c r="BM31" s="112"/>
      <c r="BN31" s="112"/>
      <c r="BO31" s="112"/>
    </row>
    <row r="32" spans="2:68" ht="31.5" hidden="1" customHeight="1" x14ac:dyDescent="0.35">
      <c r="B32" s="367" t="s">
        <v>1464</v>
      </c>
      <c r="C32" s="355" t="s">
        <v>1421</v>
      </c>
      <c r="D32" s="355" t="s">
        <v>81</v>
      </c>
      <c r="E32" s="355" t="s">
        <v>238</v>
      </c>
      <c r="F32" s="375" t="s">
        <v>1465</v>
      </c>
      <c r="G32" s="65" t="s">
        <v>84</v>
      </c>
      <c r="H32" s="347" t="s">
        <v>1466</v>
      </c>
      <c r="I32" s="347"/>
      <c r="J32" s="347"/>
      <c r="K32" s="347"/>
      <c r="L32" s="347" t="s">
        <v>1467</v>
      </c>
      <c r="M32" s="347"/>
      <c r="N32" s="347"/>
      <c r="O32" s="347"/>
      <c r="P32" s="376"/>
      <c r="Q32" s="376"/>
      <c r="R32" s="376"/>
      <c r="S32" s="376"/>
      <c r="T32" s="376"/>
      <c r="U32" s="376"/>
      <c r="V32" s="376"/>
      <c r="W32" s="376"/>
      <c r="X32" s="376"/>
      <c r="Y32" s="376"/>
      <c r="Z32" s="376"/>
      <c r="AA32" s="376"/>
      <c r="AB32" s="376"/>
      <c r="AC32" s="376"/>
      <c r="AD32" s="376"/>
      <c r="AE32" s="376"/>
      <c r="AF32" s="376"/>
      <c r="AG32" s="376"/>
      <c r="AH32" s="376"/>
      <c r="AI32" s="376"/>
      <c r="AJ32" s="376"/>
      <c r="AK32" s="53"/>
      <c r="AL32" s="53"/>
      <c r="AM32" s="53"/>
      <c r="AN32" s="53"/>
      <c r="AO32" s="53"/>
      <c r="AP32" s="376"/>
      <c r="AQ32" s="376"/>
      <c r="AR32" s="376"/>
      <c r="AS32" s="376"/>
      <c r="AT32" s="53"/>
      <c r="AU32" s="53"/>
      <c r="AV32" s="53"/>
      <c r="AW32" s="53"/>
      <c r="AX32" s="53"/>
      <c r="AY32" s="53"/>
      <c r="AZ32" s="53"/>
      <c r="BA32" s="53"/>
      <c r="BB32" s="53"/>
      <c r="BC32" s="53"/>
      <c r="BD32" s="53"/>
      <c r="BE32" s="53"/>
      <c r="BF32" s="53"/>
      <c r="BG32" s="53"/>
      <c r="BH32" s="53"/>
      <c r="BI32" s="53"/>
      <c r="BJ32" s="53"/>
      <c r="BK32" s="53"/>
      <c r="BL32" s="111">
        <v>45352</v>
      </c>
      <c r="BM32" s="111">
        <v>45352</v>
      </c>
      <c r="BN32" s="111">
        <v>45684</v>
      </c>
      <c r="BO32" s="111"/>
    </row>
    <row r="33" spans="2:67" ht="39.75" hidden="1" customHeight="1" x14ac:dyDescent="0.35">
      <c r="B33" s="367"/>
      <c r="C33" s="355"/>
      <c r="D33" s="355"/>
      <c r="E33" s="355"/>
      <c r="F33" s="375"/>
      <c r="G33" s="66" t="s">
        <v>120</v>
      </c>
      <c r="H33" s="345" t="s">
        <v>1468</v>
      </c>
      <c r="I33" s="345"/>
      <c r="J33" s="345"/>
      <c r="K33" s="345"/>
      <c r="L33" s="345" t="s">
        <v>1469</v>
      </c>
      <c r="M33" s="345"/>
      <c r="N33" s="345"/>
      <c r="O33" s="345"/>
      <c r="P33" s="345" t="s">
        <v>1470</v>
      </c>
      <c r="Q33" s="345"/>
      <c r="R33" s="345"/>
      <c r="S33" s="345"/>
      <c r="T33" s="374"/>
      <c r="U33" s="374"/>
      <c r="V33" s="374"/>
      <c r="W33" s="374"/>
      <c r="X33" s="374"/>
      <c r="Y33" s="374"/>
      <c r="Z33" s="374"/>
      <c r="AA33" s="374"/>
      <c r="AB33" s="374"/>
      <c r="AC33" s="374"/>
      <c r="AD33" s="374"/>
      <c r="AE33" s="374"/>
      <c r="AF33" s="374"/>
      <c r="AG33" s="374"/>
      <c r="AH33" s="374"/>
      <c r="AI33" s="374"/>
      <c r="AJ33" s="374"/>
      <c r="AK33" s="98"/>
      <c r="AL33" s="98"/>
      <c r="AM33" s="98"/>
      <c r="AN33" s="98"/>
      <c r="AO33" s="98"/>
      <c r="AP33" s="374"/>
      <c r="AQ33" s="374"/>
      <c r="AR33" s="374"/>
      <c r="AS33" s="374"/>
      <c r="AT33" s="98"/>
      <c r="AU33" s="98"/>
      <c r="AV33" s="98"/>
      <c r="AW33" s="98"/>
      <c r="AX33" s="98"/>
      <c r="AY33" s="98"/>
      <c r="AZ33" s="98"/>
      <c r="BA33" s="98"/>
      <c r="BB33" s="98"/>
      <c r="BC33" s="98"/>
      <c r="BD33" s="98"/>
      <c r="BE33" s="98"/>
      <c r="BF33" s="98"/>
      <c r="BG33" s="98"/>
      <c r="BH33" s="98"/>
      <c r="BI33" s="98"/>
      <c r="BJ33" s="98"/>
      <c r="BK33" s="98"/>
      <c r="BL33" s="112"/>
      <c r="BM33" s="112"/>
      <c r="BN33" s="112"/>
      <c r="BO33" s="112"/>
    </row>
    <row r="34" spans="2:67" ht="31.5" hidden="1" customHeight="1" x14ac:dyDescent="0.35">
      <c r="B34" s="367" t="s">
        <v>1471</v>
      </c>
      <c r="C34" s="355" t="s">
        <v>1472</v>
      </c>
      <c r="D34" s="355" t="s">
        <v>81</v>
      </c>
      <c r="E34" s="355" t="s">
        <v>518</v>
      </c>
      <c r="F34" s="375"/>
      <c r="G34" s="67" t="s">
        <v>84</v>
      </c>
      <c r="H34" s="347" t="s">
        <v>1473</v>
      </c>
      <c r="I34" s="347"/>
      <c r="J34" s="347"/>
      <c r="K34" s="347"/>
      <c r="L34" s="347" t="s">
        <v>1474</v>
      </c>
      <c r="M34" s="347"/>
      <c r="N34" s="347"/>
      <c r="O34" s="347"/>
      <c r="P34" s="376"/>
      <c r="Q34" s="376"/>
      <c r="R34" s="376"/>
      <c r="S34" s="376"/>
      <c r="T34" s="347" t="s">
        <v>78</v>
      </c>
      <c r="U34" s="347"/>
      <c r="V34" s="347"/>
      <c r="W34" s="347"/>
      <c r="X34" s="347"/>
      <c r="Y34" s="347"/>
      <c r="Z34" s="347"/>
      <c r="AA34" s="347"/>
      <c r="AB34" s="347"/>
      <c r="AC34" s="347"/>
      <c r="AD34" s="347"/>
      <c r="AE34" s="347"/>
      <c r="AF34" s="347"/>
      <c r="AG34" s="347"/>
      <c r="AH34" s="347"/>
      <c r="AI34" s="347"/>
      <c r="AJ34" s="347"/>
      <c r="AK34" s="51"/>
      <c r="AL34" s="51"/>
      <c r="AM34" s="51"/>
      <c r="AN34" s="51"/>
      <c r="AO34" s="51"/>
      <c r="AP34" s="347"/>
      <c r="AQ34" s="347"/>
      <c r="AR34" s="347"/>
      <c r="AS34" s="347"/>
      <c r="AT34" s="51"/>
      <c r="AU34" s="51"/>
      <c r="AV34" s="51"/>
      <c r="AW34" s="51"/>
      <c r="AX34" s="51"/>
      <c r="AY34" s="51"/>
      <c r="AZ34" s="51"/>
      <c r="BA34" s="51"/>
      <c r="BB34" s="51"/>
      <c r="BC34" s="51"/>
      <c r="BD34" s="51"/>
      <c r="BE34" s="51"/>
      <c r="BF34" s="51"/>
      <c r="BG34" s="51"/>
      <c r="BH34" s="51"/>
      <c r="BI34" s="51"/>
      <c r="BJ34" s="51"/>
      <c r="BK34" s="51"/>
      <c r="BL34" s="114"/>
      <c r="BM34" s="114"/>
      <c r="BN34" s="114"/>
      <c r="BO34" s="114"/>
    </row>
    <row r="35" spans="2:67" ht="32.25" hidden="1" customHeight="1" x14ac:dyDescent="0.35">
      <c r="B35" s="367"/>
      <c r="C35" s="355"/>
      <c r="D35" s="355"/>
      <c r="E35" s="355"/>
      <c r="F35" s="375"/>
      <c r="G35" s="66" t="s">
        <v>120</v>
      </c>
      <c r="H35" s="345" t="s">
        <v>1475</v>
      </c>
      <c r="I35" s="345"/>
      <c r="J35" s="345"/>
      <c r="K35" s="345"/>
      <c r="L35" s="345" t="s">
        <v>1476</v>
      </c>
      <c r="M35" s="345"/>
      <c r="N35" s="345"/>
      <c r="O35" s="345"/>
      <c r="P35" s="346" t="s">
        <v>1477</v>
      </c>
      <c r="Q35" s="346"/>
      <c r="R35" s="346"/>
      <c r="S35" s="346"/>
      <c r="T35" s="374"/>
      <c r="U35" s="374"/>
      <c r="V35" s="374"/>
      <c r="W35" s="374"/>
      <c r="X35" s="374"/>
      <c r="Y35" s="374"/>
      <c r="Z35" s="374"/>
      <c r="AA35" s="374"/>
      <c r="AB35" s="374"/>
      <c r="AC35" s="374"/>
      <c r="AD35" s="374"/>
      <c r="AE35" s="374"/>
      <c r="AF35" s="374"/>
      <c r="AG35" s="374"/>
      <c r="AH35" s="374"/>
      <c r="AI35" s="374"/>
      <c r="AJ35" s="374"/>
      <c r="AK35" s="98"/>
      <c r="AL35" s="98"/>
      <c r="AM35" s="98"/>
      <c r="AN35" s="98"/>
      <c r="AO35" s="98"/>
      <c r="AP35" s="374"/>
      <c r="AQ35" s="374"/>
      <c r="AR35" s="374"/>
      <c r="AS35" s="374"/>
      <c r="AT35" s="98"/>
      <c r="AU35" s="98"/>
      <c r="AV35" s="98"/>
      <c r="AW35" s="98"/>
      <c r="AX35" s="98"/>
      <c r="AY35" s="98"/>
      <c r="AZ35" s="98"/>
      <c r="BA35" s="98"/>
      <c r="BB35" s="98"/>
      <c r="BC35" s="98"/>
      <c r="BD35" s="98"/>
      <c r="BE35" s="98"/>
      <c r="BF35" s="98"/>
      <c r="BG35" s="98"/>
      <c r="BH35" s="98"/>
      <c r="BI35" s="98"/>
      <c r="BJ35" s="98"/>
      <c r="BK35" s="98"/>
      <c r="BL35" s="112"/>
      <c r="BM35" s="112"/>
      <c r="BN35" s="112"/>
      <c r="BO35" s="112"/>
    </row>
    <row r="36" spans="2:67" ht="48" hidden="1" customHeight="1" x14ac:dyDescent="0.35">
      <c r="B36" s="367" t="s">
        <v>1478</v>
      </c>
      <c r="C36" s="355" t="s">
        <v>1472</v>
      </c>
      <c r="D36" s="368"/>
      <c r="E36" s="368"/>
      <c r="F36" s="373" t="s">
        <v>1479</v>
      </c>
      <c r="G36" s="65" t="s">
        <v>84</v>
      </c>
      <c r="H36" s="347" t="s">
        <v>1480</v>
      </c>
      <c r="I36" s="347"/>
      <c r="J36" s="347"/>
      <c r="K36" s="347"/>
      <c r="L36" s="347" t="s">
        <v>1481</v>
      </c>
      <c r="M36" s="347"/>
      <c r="N36" s="347"/>
      <c r="O36" s="347"/>
      <c r="P36" s="347" t="s">
        <v>1482</v>
      </c>
      <c r="Q36" s="347"/>
      <c r="R36" s="347"/>
      <c r="S36" s="347"/>
      <c r="T36" s="347" t="s">
        <v>1483</v>
      </c>
      <c r="U36" s="347"/>
      <c r="V36" s="347"/>
      <c r="W36" s="347"/>
      <c r="X36" s="347" t="s">
        <v>1484</v>
      </c>
      <c r="Y36" s="347"/>
      <c r="Z36" s="347"/>
      <c r="AA36" s="347"/>
      <c r="AB36" s="347"/>
      <c r="AC36" s="347" t="s">
        <v>1485</v>
      </c>
      <c r="AD36" s="347"/>
      <c r="AE36" s="347"/>
      <c r="AF36" s="347"/>
      <c r="AG36" s="347"/>
      <c r="AH36" s="347"/>
      <c r="AI36" s="347"/>
      <c r="AJ36" s="347"/>
      <c r="AK36" s="51"/>
      <c r="AL36" s="51"/>
      <c r="AM36" s="51"/>
      <c r="AN36" s="51"/>
      <c r="AO36" s="51"/>
      <c r="AP36" s="347"/>
      <c r="AQ36" s="347"/>
      <c r="AR36" s="347"/>
      <c r="AS36" s="347"/>
      <c r="AT36" s="51"/>
      <c r="AU36" s="51"/>
      <c r="AV36" s="51"/>
      <c r="AW36" s="51"/>
      <c r="AX36" s="51"/>
      <c r="AY36" s="51"/>
      <c r="AZ36" s="51"/>
      <c r="BA36" s="51"/>
      <c r="BB36" s="51"/>
      <c r="BC36" s="51"/>
      <c r="BD36" s="51"/>
      <c r="BE36" s="51"/>
      <c r="BF36" s="51"/>
      <c r="BG36" s="51"/>
      <c r="BH36" s="51"/>
      <c r="BI36" s="51"/>
      <c r="BJ36" s="51"/>
      <c r="BK36" s="51"/>
      <c r="BL36" s="120">
        <v>45945</v>
      </c>
      <c r="BM36" s="120">
        <v>46001</v>
      </c>
      <c r="BN36" s="120">
        <v>45717</v>
      </c>
      <c r="BO36" s="116"/>
    </row>
    <row r="37" spans="2:67" ht="45.75" hidden="1" customHeight="1" x14ac:dyDescent="0.35">
      <c r="B37" s="367"/>
      <c r="C37" s="355"/>
      <c r="D37" s="368"/>
      <c r="E37" s="368"/>
      <c r="F37" s="373"/>
      <c r="G37" s="66" t="s">
        <v>120</v>
      </c>
      <c r="H37" s="345" t="s">
        <v>1486</v>
      </c>
      <c r="I37" s="345"/>
      <c r="J37" s="345"/>
      <c r="K37" s="345"/>
      <c r="L37" s="345" t="s">
        <v>1487</v>
      </c>
      <c r="M37" s="345"/>
      <c r="N37" s="345"/>
      <c r="O37" s="345"/>
      <c r="P37" s="345" t="s">
        <v>1488</v>
      </c>
      <c r="Q37" s="345"/>
      <c r="R37" s="345"/>
      <c r="S37" s="345"/>
      <c r="T37" s="345" t="s">
        <v>1489</v>
      </c>
      <c r="U37" s="346"/>
      <c r="V37" s="346"/>
      <c r="W37" s="346"/>
      <c r="X37" s="346" t="s">
        <v>1490</v>
      </c>
      <c r="Y37" s="346"/>
      <c r="Z37" s="346"/>
      <c r="AA37" s="346"/>
      <c r="AB37" s="346"/>
      <c r="AC37" s="346"/>
      <c r="AD37" s="346"/>
      <c r="AE37" s="346"/>
      <c r="AF37" s="346"/>
      <c r="AG37" s="346"/>
      <c r="AH37" s="346"/>
      <c r="AI37" s="346"/>
      <c r="AJ37" s="346"/>
      <c r="AK37" s="62"/>
      <c r="AL37" s="62"/>
      <c r="AM37" s="62"/>
      <c r="AN37" s="62"/>
      <c r="AO37" s="62"/>
      <c r="AP37" s="346"/>
      <c r="AQ37" s="346"/>
      <c r="AR37" s="346"/>
      <c r="AS37" s="346"/>
      <c r="AT37" s="62"/>
      <c r="AU37" s="62"/>
      <c r="AV37" s="62"/>
      <c r="AW37" s="62"/>
      <c r="AX37" s="62"/>
      <c r="AY37" s="62"/>
      <c r="AZ37" s="62"/>
      <c r="BA37" s="62"/>
      <c r="BB37" s="62"/>
      <c r="BC37" s="62"/>
      <c r="BD37" s="62"/>
      <c r="BE37" s="62"/>
      <c r="BF37" s="62"/>
      <c r="BG37" s="62"/>
      <c r="BH37" s="62"/>
      <c r="BI37" s="62"/>
      <c r="BJ37" s="62"/>
      <c r="BK37" s="62"/>
      <c r="BL37" s="112"/>
      <c r="BM37" s="113"/>
      <c r="BN37" s="112"/>
      <c r="BO37" s="113"/>
    </row>
    <row r="38" spans="2:67" ht="48.75" hidden="1" customHeight="1" x14ac:dyDescent="0.35">
      <c r="B38" s="367" t="s">
        <v>1491</v>
      </c>
      <c r="C38" s="355" t="s">
        <v>1492</v>
      </c>
      <c r="D38" s="368" t="s">
        <v>81</v>
      </c>
      <c r="E38" s="355" t="s">
        <v>1393</v>
      </c>
      <c r="F38" s="397"/>
      <c r="G38" s="65" t="s">
        <v>84</v>
      </c>
      <c r="H38" s="51" t="s">
        <v>1493</v>
      </c>
      <c r="I38" s="51" t="s">
        <v>1494</v>
      </c>
      <c r="J38" s="51" t="s">
        <v>1495</v>
      </c>
      <c r="K38" s="51" t="s">
        <v>1496</v>
      </c>
      <c r="L38" s="51" t="s">
        <v>1497</v>
      </c>
      <c r="M38" s="51" t="s">
        <v>1498</v>
      </c>
      <c r="N38" s="51" t="s">
        <v>1499</v>
      </c>
      <c r="O38" s="51" t="s">
        <v>1500</v>
      </c>
      <c r="P38" s="51"/>
      <c r="Q38" s="51" t="s">
        <v>1501</v>
      </c>
      <c r="R38" s="51" t="s">
        <v>1502</v>
      </c>
      <c r="S38" s="51" t="s">
        <v>1503</v>
      </c>
      <c r="T38" s="51" t="s">
        <v>1504</v>
      </c>
      <c r="U38" s="51" t="s">
        <v>1505</v>
      </c>
      <c r="V38" s="51" t="s">
        <v>1506</v>
      </c>
      <c r="W38" s="51" t="s">
        <v>1507</v>
      </c>
      <c r="X38" s="51" t="s">
        <v>1508</v>
      </c>
      <c r="Y38" s="51" t="s">
        <v>1509</v>
      </c>
      <c r="Z38" s="51" t="s">
        <v>1510</v>
      </c>
      <c r="AA38" s="51" t="s">
        <v>1511</v>
      </c>
      <c r="AB38" s="51" t="s">
        <v>1512</v>
      </c>
      <c r="AC38" s="51" t="s">
        <v>1513</v>
      </c>
      <c r="AD38" s="51" t="s">
        <v>1514</v>
      </c>
      <c r="AE38" s="51" t="s">
        <v>1515</v>
      </c>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111">
        <v>45397</v>
      </c>
      <c r="BM38" s="111">
        <v>45506</v>
      </c>
      <c r="BN38" s="111">
        <v>45602</v>
      </c>
      <c r="BO38" s="111">
        <v>45807</v>
      </c>
    </row>
    <row r="39" spans="2:67" ht="32.25" hidden="1" customHeight="1" x14ac:dyDescent="0.35">
      <c r="B39" s="367"/>
      <c r="C39" s="355"/>
      <c r="D39" s="368"/>
      <c r="E39" s="355"/>
      <c r="F39" s="397"/>
      <c r="G39" s="66" t="s">
        <v>120</v>
      </c>
      <c r="H39" s="52" t="s">
        <v>1516</v>
      </c>
      <c r="I39" s="52" t="s">
        <v>1517</v>
      </c>
      <c r="J39" s="52" t="s">
        <v>1518</v>
      </c>
      <c r="K39" s="52" t="s">
        <v>1519</v>
      </c>
      <c r="L39" s="52" t="s">
        <v>1520</v>
      </c>
      <c r="M39" s="52" t="s">
        <v>1521</v>
      </c>
      <c r="N39" s="52" t="s">
        <v>1522</v>
      </c>
      <c r="O39" s="52"/>
      <c r="P39" s="52" t="s">
        <v>1523</v>
      </c>
      <c r="Q39" s="52" t="s">
        <v>1524</v>
      </c>
      <c r="R39" s="52" t="s">
        <v>1525</v>
      </c>
      <c r="S39" s="52" t="s">
        <v>1526</v>
      </c>
      <c r="T39" s="52" t="s">
        <v>1527</v>
      </c>
      <c r="U39" s="52" t="s">
        <v>1528</v>
      </c>
      <c r="V39" s="52" t="s">
        <v>1529</v>
      </c>
      <c r="W39" s="52" t="s">
        <v>1530</v>
      </c>
      <c r="X39" s="52" t="s">
        <v>1531</v>
      </c>
      <c r="Y39" s="52" t="s">
        <v>1532</v>
      </c>
      <c r="Z39" s="52" t="s">
        <v>1533</v>
      </c>
      <c r="AA39" s="52" t="s">
        <v>1534</v>
      </c>
      <c r="AB39" s="52" t="s">
        <v>1535</v>
      </c>
      <c r="AC39" s="52" t="s">
        <v>1536</v>
      </c>
      <c r="AD39" s="52" t="s">
        <v>1537</v>
      </c>
      <c r="AE39" s="97"/>
      <c r="AF39" s="52"/>
      <c r="AG39" s="52"/>
      <c r="AH39" s="52"/>
      <c r="AI39" s="97"/>
      <c r="AJ39" s="52"/>
      <c r="AK39" s="52"/>
      <c r="AL39" s="52"/>
      <c r="AM39" s="52"/>
      <c r="AN39" s="52"/>
      <c r="AO39" s="52"/>
      <c r="AP39" s="52"/>
      <c r="AQ39" s="52"/>
      <c r="AR39" s="97"/>
      <c r="AS39" s="52"/>
      <c r="AT39" s="52"/>
      <c r="AU39" s="52"/>
      <c r="AV39" s="52"/>
      <c r="AW39" s="52"/>
      <c r="AX39" s="52"/>
      <c r="AY39" s="52"/>
      <c r="AZ39" s="52"/>
      <c r="BA39" s="52"/>
      <c r="BB39" s="52"/>
      <c r="BC39" s="52"/>
      <c r="BD39" s="52"/>
      <c r="BE39" s="52"/>
      <c r="BF39" s="52"/>
      <c r="BG39" s="52"/>
      <c r="BH39" s="52"/>
      <c r="BI39" s="52"/>
      <c r="BJ39" s="52"/>
      <c r="BK39" s="52"/>
      <c r="BL39" s="112" t="s">
        <v>1538</v>
      </c>
      <c r="BM39" s="112" t="s">
        <v>1539</v>
      </c>
      <c r="BN39" s="112" t="s">
        <v>1540</v>
      </c>
      <c r="BO39" s="113"/>
    </row>
    <row r="40" spans="2:67" ht="104.25" hidden="1" customHeight="1" x14ac:dyDescent="0.35">
      <c r="B40" s="367" t="s">
        <v>1541</v>
      </c>
      <c r="C40" s="355" t="s">
        <v>1492</v>
      </c>
      <c r="D40" s="368" t="s">
        <v>81</v>
      </c>
      <c r="E40" s="355" t="s">
        <v>238</v>
      </c>
      <c r="F40" s="369" t="s">
        <v>1542</v>
      </c>
      <c r="G40" s="65" t="s">
        <v>84</v>
      </c>
      <c r="H40" s="52"/>
      <c r="I40" s="52"/>
      <c r="J40" s="52"/>
      <c r="K40" s="52"/>
      <c r="L40" s="52"/>
      <c r="M40" s="52"/>
      <c r="N40" s="52"/>
      <c r="O40" s="52"/>
      <c r="P40" s="52"/>
      <c r="Q40" s="52"/>
      <c r="R40" s="52"/>
      <c r="S40" s="52"/>
      <c r="T40" s="52"/>
      <c r="U40" s="52"/>
      <c r="V40" s="52"/>
      <c r="W40" s="52"/>
      <c r="X40" s="52"/>
      <c r="Y40" s="52"/>
      <c r="Z40" s="51" t="s">
        <v>1543</v>
      </c>
      <c r="AA40" s="51" t="s">
        <v>1544</v>
      </c>
      <c r="AB40" s="51" t="s">
        <v>1545</v>
      </c>
      <c r="AC40" s="51" t="s">
        <v>1546</v>
      </c>
      <c r="AD40" s="51" t="s">
        <v>1547</v>
      </c>
      <c r="AE40" s="51" t="s">
        <v>1548</v>
      </c>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116" t="s">
        <v>1549</v>
      </c>
      <c r="BM40" s="116" t="s">
        <v>1550</v>
      </c>
      <c r="BN40" s="116" t="s">
        <v>1551</v>
      </c>
      <c r="BO40" s="122">
        <v>45807</v>
      </c>
    </row>
    <row r="41" spans="2:67" ht="156" hidden="1" customHeight="1" x14ac:dyDescent="0.35">
      <c r="B41" s="367"/>
      <c r="C41" s="355"/>
      <c r="D41" s="368"/>
      <c r="E41" s="355"/>
      <c r="F41" s="370"/>
      <c r="G41" s="66" t="s">
        <v>120</v>
      </c>
      <c r="H41" s="52"/>
      <c r="I41" s="52"/>
      <c r="J41" s="52"/>
      <c r="K41" s="52"/>
      <c r="L41" s="52"/>
      <c r="M41" s="52"/>
      <c r="N41" s="52"/>
      <c r="O41" s="52"/>
      <c r="P41" s="52"/>
      <c r="Q41" s="52"/>
      <c r="R41" s="52"/>
      <c r="S41" s="52"/>
      <c r="T41" s="52"/>
      <c r="U41" s="52"/>
      <c r="V41" s="52"/>
      <c r="W41" s="52"/>
      <c r="X41" s="52"/>
      <c r="Y41" s="52"/>
      <c r="Z41" s="52" t="s">
        <v>1552</v>
      </c>
      <c r="AA41" s="52" t="s">
        <v>1553</v>
      </c>
      <c r="AB41" s="52" t="s">
        <v>1554</v>
      </c>
      <c r="AC41" s="52" t="s">
        <v>1555</v>
      </c>
      <c r="AD41" s="52" t="s">
        <v>1556</v>
      </c>
      <c r="AE41" s="97"/>
      <c r="AF41" s="52"/>
      <c r="AG41" s="52"/>
      <c r="AH41" s="52"/>
      <c r="AI41" s="97"/>
      <c r="AJ41" s="52"/>
      <c r="AK41" s="52"/>
      <c r="AL41" s="52"/>
      <c r="AM41" s="52"/>
      <c r="AN41" s="52"/>
      <c r="AO41" s="52"/>
      <c r="AP41" s="52"/>
      <c r="AQ41" s="52"/>
      <c r="AR41" s="97"/>
      <c r="AS41" s="52"/>
      <c r="AT41" s="52"/>
      <c r="AU41" s="52"/>
      <c r="AV41" s="52"/>
      <c r="AW41" s="52"/>
      <c r="AX41" s="52"/>
      <c r="AY41" s="52"/>
      <c r="AZ41" s="52"/>
      <c r="BA41" s="52"/>
      <c r="BB41" s="52"/>
      <c r="BC41" s="52"/>
      <c r="BD41" s="52"/>
      <c r="BE41" s="52"/>
      <c r="BF41" s="52"/>
      <c r="BG41" s="52"/>
      <c r="BH41" s="52"/>
      <c r="BI41" s="52"/>
      <c r="BJ41" s="52"/>
      <c r="BK41" s="52"/>
      <c r="BL41" s="112" t="s">
        <v>1549</v>
      </c>
      <c r="BM41" s="112" t="s">
        <v>1551</v>
      </c>
      <c r="BN41" s="112" t="s">
        <v>1557</v>
      </c>
      <c r="BO41" s="113"/>
    </row>
    <row r="42" spans="2:67" ht="39" hidden="1" customHeight="1" x14ac:dyDescent="0.35">
      <c r="B42" s="371" t="s">
        <v>1558</v>
      </c>
      <c r="C42" s="364" t="s">
        <v>1559</v>
      </c>
      <c r="D42" s="364" t="s">
        <v>81</v>
      </c>
      <c r="E42" s="364" t="s">
        <v>238</v>
      </c>
      <c r="F42" s="372" t="s">
        <v>1560</v>
      </c>
      <c r="G42" s="65" t="s">
        <v>84</v>
      </c>
      <c r="H42" s="52"/>
      <c r="I42" s="52"/>
      <c r="J42" s="52"/>
      <c r="K42" s="52"/>
      <c r="L42" s="52"/>
      <c r="M42" s="52"/>
      <c r="N42" s="52"/>
      <c r="O42" s="52"/>
      <c r="P42" s="52"/>
      <c r="Q42" s="52"/>
      <c r="R42" s="52"/>
      <c r="S42" s="52"/>
      <c r="T42" s="52"/>
      <c r="U42" s="52"/>
      <c r="V42" s="52"/>
      <c r="W42" s="52"/>
      <c r="X42" s="52"/>
      <c r="Y42" s="52"/>
      <c r="Z42" s="51" t="s">
        <v>1561</v>
      </c>
      <c r="AA42" s="51" t="s">
        <v>1562</v>
      </c>
      <c r="AB42" s="51" t="s">
        <v>1563</v>
      </c>
      <c r="AC42" s="51" t="s">
        <v>1564</v>
      </c>
      <c r="AD42" s="51" t="s">
        <v>1565</v>
      </c>
      <c r="AE42" s="51" t="s">
        <v>1566</v>
      </c>
      <c r="AF42" s="51" t="s">
        <v>1567</v>
      </c>
      <c r="AG42" s="51" t="s">
        <v>1568</v>
      </c>
      <c r="AH42" s="51" t="s">
        <v>1569</v>
      </c>
      <c r="AI42" s="51" t="s">
        <v>1570</v>
      </c>
      <c r="AJ42" s="51" t="s">
        <v>1571</v>
      </c>
      <c r="AK42" s="51" t="s">
        <v>1572</v>
      </c>
      <c r="AL42" s="51" t="s">
        <v>1572</v>
      </c>
      <c r="AM42" s="51" t="s">
        <v>1573</v>
      </c>
      <c r="AN42" s="51" t="s">
        <v>1574</v>
      </c>
      <c r="AO42" s="51" t="s">
        <v>1575</v>
      </c>
      <c r="AP42" s="51" t="s">
        <v>1576</v>
      </c>
      <c r="AQ42" s="51"/>
      <c r="AR42" s="51"/>
      <c r="AS42" s="51"/>
      <c r="AT42" s="51"/>
      <c r="AU42" s="51"/>
      <c r="AV42" s="51"/>
      <c r="AW42" s="51"/>
      <c r="AX42" s="51"/>
      <c r="AY42" s="51"/>
      <c r="AZ42" s="51"/>
      <c r="BA42" s="51"/>
      <c r="BB42" s="51"/>
      <c r="BC42" s="51"/>
      <c r="BD42" s="51"/>
      <c r="BE42" s="51"/>
      <c r="BF42" s="51"/>
      <c r="BG42" s="51"/>
      <c r="BH42" s="51"/>
      <c r="BI42" s="51"/>
      <c r="BJ42" s="51"/>
      <c r="BK42" s="51"/>
      <c r="BL42" s="120">
        <v>45747</v>
      </c>
      <c r="BM42" s="122">
        <v>45747</v>
      </c>
      <c r="BN42" s="120">
        <v>45817</v>
      </c>
      <c r="BO42" s="120">
        <v>45829</v>
      </c>
    </row>
    <row r="43" spans="2:67" ht="39" hidden="1" customHeight="1" x14ac:dyDescent="0.35">
      <c r="B43" s="371"/>
      <c r="C43" s="364"/>
      <c r="D43" s="364"/>
      <c r="E43" s="364"/>
      <c r="F43" s="372"/>
      <c r="G43" s="66" t="s">
        <v>120</v>
      </c>
      <c r="H43" s="52"/>
      <c r="I43" s="52"/>
      <c r="J43" s="52"/>
      <c r="K43" s="52"/>
      <c r="L43" s="52"/>
      <c r="M43" s="52"/>
      <c r="N43" s="52"/>
      <c r="O43" s="52"/>
      <c r="P43" s="52"/>
      <c r="Q43" s="52"/>
      <c r="R43" s="52"/>
      <c r="S43" s="52"/>
      <c r="T43" s="52"/>
      <c r="U43" s="52"/>
      <c r="V43" s="52"/>
      <c r="W43" s="52"/>
      <c r="X43" s="52"/>
      <c r="Y43" s="52"/>
      <c r="Z43" s="52" t="s">
        <v>1577</v>
      </c>
      <c r="AA43" s="119" t="s">
        <v>1578</v>
      </c>
      <c r="AB43" s="52" t="s">
        <v>1579</v>
      </c>
      <c r="AC43" s="52" t="s">
        <v>1580</v>
      </c>
      <c r="AD43" s="52" t="s">
        <v>1581</v>
      </c>
      <c r="AE43" s="52" t="s">
        <v>1582</v>
      </c>
      <c r="AF43" s="52" t="s">
        <v>1583</v>
      </c>
      <c r="AG43" s="52" t="s">
        <v>1584</v>
      </c>
      <c r="AH43" s="52" t="s">
        <v>1585</v>
      </c>
      <c r="AI43" s="52" t="s">
        <v>1586</v>
      </c>
      <c r="AJ43" s="52" t="s">
        <v>1587</v>
      </c>
      <c r="AK43" s="52" t="s">
        <v>1588</v>
      </c>
      <c r="AL43" s="52" t="s">
        <v>1589</v>
      </c>
      <c r="AM43" s="52" t="s">
        <v>1590</v>
      </c>
      <c r="AN43" s="52" t="s">
        <v>1591</v>
      </c>
      <c r="AO43" s="52" t="s">
        <v>1592</v>
      </c>
      <c r="AP43" s="52"/>
      <c r="AQ43" s="52"/>
      <c r="AR43" s="52"/>
      <c r="AS43" s="52"/>
      <c r="AT43" s="52"/>
      <c r="AU43" s="52"/>
      <c r="AV43" s="52"/>
      <c r="AW43" s="52"/>
      <c r="AX43" s="52"/>
      <c r="AY43" s="52"/>
      <c r="AZ43" s="52"/>
      <c r="BA43" s="52"/>
      <c r="BB43" s="52"/>
      <c r="BC43" s="52"/>
      <c r="BD43" s="52"/>
      <c r="BE43" s="52"/>
      <c r="BF43" s="52"/>
      <c r="BG43" s="52"/>
      <c r="BH43" s="52"/>
      <c r="BI43" s="52"/>
      <c r="BJ43" s="52"/>
      <c r="BK43" s="52"/>
      <c r="BL43" s="112">
        <v>45747</v>
      </c>
      <c r="BM43" s="156"/>
      <c r="BN43" s="157"/>
      <c r="BO43" s="113"/>
    </row>
    <row r="44" spans="2:67" ht="27.75" customHeight="1" x14ac:dyDescent="0.35">
      <c r="B44" s="361" t="s">
        <v>1593</v>
      </c>
      <c r="C44" s="355" t="s">
        <v>1049</v>
      </c>
      <c r="D44" s="355" t="s">
        <v>81</v>
      </c>
      <c r="E44" s="355" t="s">
        <v>238</v>
      </c>
      <c r="F44" s="362" t="s">
        <v>1594</v>
      </c>
      <c r="G44" s="65" t="s">
        <v>84</v>
      </c>
      <c r="H44" s="347" t="s">
        <v>1595</v>
      </c>
      <c r="I44" s="347"/>
      <c r="J44" s="347"/>
      <c r="K44" s="347"/>
      <c r="L44" s="347" t="s">
        <v>1596</v>
      </c>
      <c r="M44" s="347"/>
      <c r="N44" s="347"/>
      <c r="O44" s="347"/>
      <c r="P44" s="347" t="s">
        <v>1597</v>
      </c>
      <c r="Q44" s="347"/>
      <c r="R44" s="347"/>
      <c r="S44" s="347"/>
      <c r="T44" s="347" t="s">
        <v>1598</v>
      </c>
      <c r="U44" s="347"/>
      <c r="V44" s="347"/>
      <c r="W44" s="347"/>
      <c r="X44" s="347" t="s">
        <v>1598</v>
      </c>
      <c r="Y44" s="347"/>
      <c r="Z44" s="347"/>
      <c r="AA44" s="347"/>
      <c r="AB44" s="347"/>
      <c r="AC44" s="347" t="s">
        <v>1598</v>
      </c>
      <c r="AD44" s="347"/>
      <c r="AE44" s="347"/>
      <c r="AF44" s="347"/>
      <c r="AG44" s="347" t="s">
        <v>1598</v>
      </c>
      <c r="AH44" s="347"/>
      <c r="AI44" s="347"/>
      <c r="AJ44" s="347"/>
      <c r="AK44" s="358" t="s">
        <v>1599</v>
      </c>
      <c r="AL44" s="358"/>
      <c r="AM44" s="358"/>
      <c r="AN44" s="358"/>
      <c r="AO44" s="358"/>
      <c r="AP44" s="347" t="s">
        <v>1600</v>
      </c>
      <c r="AQ44" s="347"/>
      <c r="AR44" s="347"/>
      <c r="AS44" s="347"/>
      <c r="AT44" s="354" t="s">
        <v>1601</v>
      </c>
      <c r="AU44" s="354"/>
      <c r="AV44" s="354"/>
      <c r="AW44" s="354"/>
      <c r="AX44" s="354"/>
      <c r="AY44" s="354" t="s">
        <v>1601</v>
      </c>
      <c r="AZ44" s="354"/>
      <c r="BA44" s="354"/>
      <c r="BB44" s="354"/>
      <c r="BC44" s="359" t="s">
        <v>1601</v>
      </c>
      <c r="BD44" s="358"/>
      <c r="BE44" s="358"/>
      <c r="BF44" s="360"/>
      <c r="BG44" s="354"/>
      <c r="BH44" s="354"/>
      <c r="BI44" s="354"/>
      <c r="BJ44" s="354"/>
      <c r="BK44" s="354"/>
      <c r="BL44" s="176">
        <v>45413</v>
      </c>
      <c r="BM44" s="111">
        <v>45413</v>
      </c>
      <c r="BN44" s="111">
        <v>46022</v>
      </c>
      <c r="BO44" s="111">
        <v>46203</v>
      </c>
    </row>
    <row r="45" spans="2:67" ht="21.75" customHeight="1" x14ac:dyDescent="0.35">
      <c r="B45" s="361"/>
      <c r="C45" s="355"/>
      <c r="D45" s="355"/>
      <c r="E45" s="355"/>
      <c r="F45" s="362"/>
      <c r="G45" s="66" t="s">
        <v>120</v>
      </c>
      <c r="H45" s="345" t="s">
        <v>1602</v>
      </c>
      <c r="I45" s="345"/>
      <c r="J45" s="345"/>
      <c r="K45" s="345"/>
      <c r="L45" s="345" t="s">
        <v>1603</v>
      </c>
      <c r="M45" s="345"/>
      <c r="N45" s="345"/>
      <c r="O45" s="345"/>
      <c r="P45" s="345" t="s">
        <v>1604</v>
      </c>
      <c r="Q45" s="345"/>
      <c r="R45" s="345"/>
      <c r="S45" s="345"/>
      <c r="T45" s="345" t="s">
        <v>1605</v>
      </c>
      <c r="U45" s="346"/>
      <c r="V45" s="346"/>
      <c r="W45" s="346"/>
      <c r="X45" s="345" t="s">
        <v>1606</v>
      </c>
      <c r="Y45" s="346"/>
      <c r="Z45" s="346"/>
      <c r="AA45" s="346"/>
      <c r="AB45" s="346"/>
      <c r="AC45" s="345" t="s">
        <v>1607</v>
      </c>
      <c r="AD45" s="346"/>
      <c r="AE45" s="346"/>
      <c r="AF45" s="346"/>
      <c r="AG45" s="345" t="s">
        <v>1608</v>
      </c>
      <c r="AH45" s="346"/>
      <c r="AI45" s="346"/>
      <c r="AJ45" s="346"/>
      <c r="AK45" s="343" t="s">
        <v>1609</v>
      </c>
      <c r="AL45" s="344"/>
      <c r="AM45" s="344"/>
      <c r="AN45" s="344"/>
      <c r="AO45" s="344"/>
      <c r="AP45" s="345" t="s">
        <v>1610</v>
      </c>
      <c r="AQ45" s="346"/>
      <c r="AR45" s="346"/>
      <c r="AS45" s="346"/>
      <c r="AT45" s="353"/>
      <c r="AU45" s="353"/>
      <c r="AV45" s="353"/>
      <c r="AW45" s="353"/>
      <c r="AX45" s="353"/>
      <c r="AY45" s="353"/>
      <c r="AZ45" s="353"/>
      <c r="BA45" s="353"/>
      <c r="BB45" s="353"/>
      <c r="BC45" s="365"/>
      <c r="BD45" s="348"/>
      <c r="BE45" s="348"/>
      <c r="BF45" s="366"/>
      <c r="BG45" s="353"/>
      <c r="BH45" s="353"/>
      <c r="BI45" s="353"/>
      <c r="BJ45" s="353"/>
      <c r="BK45" s="353"/>
      <c r="BL45" s="118"/>
      <c r="BM45" s="112"/>
      <c r="BN45" s="112"/>
      <c r="BO45" s="112"/>
    </row>
    <row r="46" spans="2:67" ht="62.25" customHeight="1" x14ac:dyDescent="0.35">
      <c r="B46" s="364" t="s">
        <v>1931</v>
      </c>
      <c r="C46" s="355" t="s">
        <v>1932</v>
      </c>
      <c r="D46" s="355" t="s">
        <v>1933</v>
      </c>
      <c r="E46" s="355" t="s">
        <v>1934</v>
      </c>
      <c r="F46" s="357" t="s">
        <v>1935</v>
      </c>
      <c r="G46" s="67" t="s">
        <v>1936</v>
      </c>
      <c r="H46" s="51"/>
      <c r="I46" s="51"/>
      <c r="J46" s="51"/>
      <c r="K46" s="51"/>
      <c r="L46" s="347"/>
      <c r="M46" s="347"/>
      <c r="N46" s="347"/>
      <c r="O46" s="347"/>
      <c r="P46" s="53"/>
      <c r="Q46" s="53"/>
      <c r="R46" s="53"/>
      <c r="S46" s="51" t="s">
        <v>1937</v>
      </c>
      <c r="T46" s="51" t="s">
        <v>1938</v>
      </c>
      <c r="U46" s="51" t="s">
        <v>1939</v>
      </c>
      <c r="V46" s="51" t="s">
        <v>1940</v>
      </c>
      <c r="W46" s="51" t="s">
        <v>1941</v>
      </c>
      <c r="X46" s="51" t="s">
        <v>1942</v>
      </c>
      <c r="Y46" s="51" t="s">
        <v>1943</v>
      </c>
      <c r="Z46" s="51" t="s">
        <v>1944</v>
      </c>
      <c r="AA46" s="51" t="s">
        <v>1945</v>
      </c>
      <c r="AB46" s="51" t="s">
        <v>1946</v>
      </c>
      <c r="AC46" s="51" t="s">
        <v>1947</v>
      </c>
      <c r="AD46" s="51" t="s">
        <v>1948</v>
      </c>
      <c r="AE46" s="51" t="s">
        <v>1949</v>
      </c>
      <c r="AF46" s="51" t="s">
        <v>1950</v>
      </c>
      <c r="AG46" s="51" t="s">
        <v>1951</v>
      </c>
      <c r="AH46" s="51" t="s">
        <v>1952</v>
      </c>
      <c r="AI46" s="51" t="s">
        <v>1953</v>
      </c>
      <c r="AJ46" s="51" t="s">
        <v>1954</v>
      </c>
      <c r="AK46" s="51" t="s">
        <v>1955</v>
      </c>
      <c r="AL46" s="51" t="s">
        <v>1956</v>
      </c>
      <c r="AM46" s="51" t="s">
        <v>1957</v>
      </c>
      <c r="AN46" s="51" t="s">
        <v>1958</v>
      </c>
      <c r="AO46" s="51" t="s">
        <v>1959</v>
      </c>
      <c r="AP46" s="51" t="s">
        <v>1960</v>
      </c>
      <c r="AQ46" s="51" t="s">
        <v>1961</v>
      </c>
      <c r="AR46" s="51" t="s">
        <v>1962</v>
      </c>
      <c r="AS46" s="51" t="s">
        <v>1963</v>
      </c>
      <c r="AT46" s="51" t="s">
        <v>1964</v>
      </c>
      <c r="AU46" s="51" t="s">
        <v>1965</v>
      </c>
      <c r="AV46" s="51" t="s">
        <v>1966</v>
      </c>
      <c r="AW46" s="51" t="s">
        <v>1967</v>
      </c>
      <c r="AX46" s="51" t="s">
        <v>1967</v>
      </c>
      <c r="AY46" s="51" t="s">
        <v>1967</v>
      </c>
      <c r="AZ46" s="51" t="s">
        <v>1968</v>
      </c>
      <c r="BA46" s="51" t="s">
        <v>1969</v>
      </c>
      <c r="BB46" s="51" t="s">
        <v>1970</v>
      </c>
      <c r="BC46" s="189" t="s">
        <v>1971</v>
      </c>
      <c r="BD46" s="51" t="s">
        <v>1972</v>
      </c>
      <c r="BE46" s="51" t="s">
        <v>1973</v>
      </c>
      <c r="BF46" s="210" t="s">
        <v>1974</v>
      </c>
      <c r="BG46" s="210" t="s">
        <v>1975</v>
      </c>
      <c r="BH46" s="210" t="s">
        <v>1976</v>
      </c>
      <c r="BI46" s="51" t="s">
        <v>1977</v>
      </c>
      <c r="BJ46" s="51" t="s">
        <v>2040</v>
      </c>
      <c r="BK46" s="51"/>
      <c r="BL46" s="150"/>
      <c r="BM46" s="114"/>
      <c r="BN46" s="114"/>
      <c r="BO46" s="114"/>
    </row>
    <row r="47" spans="2:67" ht="60.75" customHeight="1" x14ac:dyDescent="0.35">
      <c r="B47" s="364"/>
      <c r="C47" s="355"/>
      <c r="D47" s="355"/>
      <c r="E47" s="355"/>
      <c r="F47" s="357"/>
      <c r="G47" s="199" t="s">
        <v>1978</v>
      </c>
      <c r="H47" s="220"/>
      <c r="I47" s="220"/>
      <c r="J47" s="220"/>
      <c r="K47" s="220"/>
      <c r="L47" s="363"/>
      <c r="M47" s="363"/>
      <c r="N47" s="363"/>
      <c r="O47" s="363"/>
      <c r="P47" s="221"/>
      <c r="Q47" s="222"/>
      <c r="R47" s="222"/>
      <c r="S47" s="220" t="s">
        <v>1979</v>
      </c>
      <c r="T47" s="220"/>
      <c r="U47" s="223" t="s">
        <v>1980</v>
      </c>
      <c r="V47" s="220" t="s">
        <v>1981</v>
      </c>
      <c r="W47" s="220" t="s">
        <v>1982</v>
      </c>
      <c r="X47" s="220" t="s">
        <v>1983</v>
      </c>
      <c r="Y47" s="220" t="s">
        <v>1984</v>
      </c>
      <c r="Z47" s="220" t="s">
        <v>1985</v>
      </c>
      <c r="AA47" s="220" t="s">
        <v>1986</v>
      </c>
      <c r="AB47" s="220" t="s">
        <v>1987</v>
      </c>
      <c r="AC47" s="220" t="s">
        <v>1988</v>
      </c>
      <c r="AD47" s="223" t="s">
        <v>1989</v>
      </c>
      <c r="AE47" s="220" t="s">
        <v>1990</v>
      </c>
      <c r="AF47" s="220" t="s">
        <v>1991</v>
      </c>
      <c r="AG47" s="220" t="s">
        <v>1992</v>
      </c>
      <c r="AH47" s="220" t="s">
        <v>1993</v>
      </c>
      <c r="AI47" s="220" t="s">
        <v>1994</v>
      </c>
      <c r="AJ47" s="220" t="s">
        <v>1995</v>
      </c>
      <c r="AK47" s="220" t="s">
        <v>1996</v>
      </c>
      <c r="AL47" s="220" t="s">
        <v>1997</v>
      </c>
      <c r="AM47" s="220" t="s">
        <v>1998</v>
      </c>
      <c r="AN47" s="220" t="s">
        <v>1999</v>
      </c>
      <c r="AO47" s="220" t="s">
        <v>2000</v>
      </c>
      <c r="AP47" s="220" t="s">
        <v>2001</v>
      </c>
      <c r="AQ47" s="220" t="s">
        <v>2002</v>
      </c>
      <c r="AR47" s="220" t="s">
        <v>2003</v>
      </c>
      <c r="AS47" s="220" t="s">
        <v>2004</v>
      </c>
      <c r="AT47" s="220" t="s">
        <v>2005</v>
      </c>
      <c r="AU47" s="220" t="s">
        <v>2006</v>
      </c>
      <c r="AV47" s="220" t="s">
        <v>2007</v>
      </c>
      <c r="AW47" s="220" t="s">
        <v>1967</v>
      </c>
      <c r="AX47" s="220" t="s">
        <v>1967</v>
      </c>
      <c r="AY47" s="220" t="s">
        <v>1967</v>
      </c>
      <c r="AZ47" s="220" t="s">
        <v>2008</v>
      </c>
      <c r="BA47" s="220" t="s">
        <v>2009</v>
      </c>
      <c r="BB47" s="220" t="s">
        <v>2010</v>
      </c>
      <c r="BC47" s="224" t="s">
        <v>2011</v>
      </c>
      <c r="BD47" s="224" t="s">
        <v>1972</v>
      </c>
      <c r="BE47" s="52" t="s">
        <v>2012</v>
      </c>
      <c r="BF47" s="52" t="s">
        <v>2013</v>
      </c>
      <c r="BG47" s="52" t="s">
        <v>1976</v>
      </c>
      <c r="BH47" s="52" t="s">
        <v>1977</v>
      </c>
      <c r="BI47" s="52" t="s">
        <v>1977</v>
      </c>
      <c r="BJ47" s="52"/>
      <c r="BK47" s="52"/>
      <c r="BL47" s="118"/>
      <c r="BM47" s="112"/>
      <c r="BN47" s="112"/>
      <c r="BO47" s="112"/>
    </row>
  </sheetData>
  <mergeCells count="420">
    <mergeCell ref="AT22:AX22"/>
    <mergeCell ref="AY22:BB22"/>
    <mergeCell ref="BC22:BF22"/>
    <mergeCell ref="BG22:BK22"/>
    <mergeCell ref="B22:B23"/>
    <mergeCell ref="C22:C23"/>
    <mergeCell ref="D22:D23"/>
    <mergeCell ref="E22:E23"/>
    <mergeCell ref="F22:F23"/>
    <mergeCell ref="H22:K22"/>
    <mergeCell ref="L22:O22"/>
    <mergeCell ref="P22:S22"/>
    <mergeCell ref="T22:W22"/>
    <mergeCell ref="X22:AB22"/>
    <mergeCell ref="AC22:AF22"/>
    <mergeCell ref="AG22:AJ22"/>
    <mergeCell ref="AK22:AO22"/>
    <mergeCell ref="AP22:AS22"/>
    <mergeCell ref="AT23:AX23"/>
    <mergeCell ref="AY23:BB23"/>
    <mergeCell ref="BC23:BF23"/>
    <mergeCell ref="BG23:BK23"/>
    <mergeCell ref="H23:K23"/>
    <mergeCell ref="L23:O23"/>
    <mergeCell ref="B38:B39"/>
    <mergeCell ref="C38:C39"/>
    <mergeCell ref="D38:D39"/>
    <mergeCell ref="E38:E39"/>
    <mergeCell ref="F38:F39"/>
    <mergeCell ref="AT2:AX2"/>
    <mergeCell ref="AY2:BB2"/>
    <mergeCell ref="BC2:BF2"/>
    <mergeCell ref="BG2:BK2"/>
    <mergeCell ref="B2:B3"/>
    <mergeCell ref="C2:C3"/>
    <mergeCell ref="D2:D3"/>
    <mergeCell ref="E2:E3"/>
    <mergeCell ref="F2:F3"/>
    <mergeCell ref="G2:G3"/>
    <mergeCell ref="H2:K2"/>
    <mergeCell ref="L2:O2"/>
    <mergeCell ref="P2:S2"/>
    <mergeCell ref="T2:W2"/>
    <mergeCell ref="X2:AB2"/>
    <mergeCell ref="AC2:AF2"/>
    <mergeCell ref="AG2:AJ2"/>
    <mergeCell ref="AK2:AO2"/>
    <mergeCell ref="AP2:AS2"/>
    <mergeCell ref="BL2:BO2"/>
    <mergeCell ref="B8:B9"/>
    <mergeCell ref="C8:C9"/>
    <mergeCell ref="D8:D9"/>
    <mergeCell ref="E8:E9"/>
    <mergeCell ref="F8:F9"/>
    <mergeCell ref="L8:M8"/>
    <mergeCell ref="L9:M9"/>
    <mergeCell ref="B14:B15"/>
    <mergeCell ref="C14:C15"/>
    <mergeCell ref="D14:D15"/>
    <mergeCell ref="E14:E15"/>
    <mergeCell ref="F14:F15"/>
    <mergeCell ref="AT13:AX13"/>
    <mergeCell ref="AY13:BB13"/>
    <mergeCell ref="H13:K13"/>
    <mergeCell ref="L13:O13"/>
    <mergeCell ref="P13:S13"/>
    <mergeCell ref="T13:W13"/>
    <mergeCell ref="X13:AB13"/>
    <mergeCell ref="AC13:AF13"/>
    <mergeCell ref="AG13:AJ13"/>
    <mergeCell ref="AK13:AO13"/>
    <mergeCell ref="AP13:AS13"/>
    <mergeCell ref="B16:B17"/>
    <mergeCell ref="C16:C17"/>
    <mergeCell ref="D16:D17"/>
    <mergeCell ref="E16:E17"/>
    <mergeCell ref="F16:F17"/>
    <mergeCell ref="L17:M17"/>
    <mergeCell ref="AT18:AX18"/>
    <mergeCell ref="AY18:BB18"/>
    <mergeCell ref="BC18:BF18"/>
    <mergeCell ref="BG18:BK18"/>
    <mergeCell ref="B18:B19"/>
    <mergeCell ref="C18:C19"/>
    <mergeCell ref="D18:D19"/>
    <mergeCell ref="E18:E19"/>
    <mergeCell ref="F18:F19"/>
    <mergeCell ref="H18:K18"/>
    <mergeCell ref="L18:O18"/>
    <mergeCell ref="P18:S18"/>
    <mergeCell ref="T18:W18"/>
    <mergeCell ref="X18:AB18"/>
    <mergeCell ref="AC18:AF18"/>
    <mergeCell ref="AG18:AJ18"/>
    <mergeCell ref="AK18:AO18"/>
    <mergeCell ref="AP18:AS18"/>
    <mergeCell ref="AT19:AX19"/>
    <mergeCell ref="AY19:BB19"/>
    <mergeCell ref="BC19:BF19"/>
    <mergeCell ref="BG19:BK19"/>
    <mergeCell ref="H19:K19"/>
    <mergeCell ref="L19:O19"/>
    <mergeCell ref="P19:S19"/>
    <mergeCell ref="T19:W19"/>
    <mergeCell ref="X19:AB19"/>
    <mergeCell ref="AC19:AF19"/>
    <mergeCell ref="AG19:AJ19"/>
    <mergeCell ref="AK19:AO19"/>
    <mergeCell ref="AP19:AS19"/>
    <mergeCell ref="AT20:AX20"/>
    <mergeCell ref="AY20:BB20"/>
    <mergeCell ref="BC20:BF20"/>
    <mergeCell ref="BG20:BK20"/>
    <mergeCell ref="B20:B21"/>
    <mergeCell ref="C20:C21"/>
    <mergeCell ref="D20:D21"/>
    <mergeCell ref="E20:E21"/>
    <mergeCell ref="F20:F21"/>
    <mergeCell ref="H20:K20"/>
    <mergeCell ref="L20:O20"/>
    <mergeCell ref="T20:W20"/>
    <mergeCell ref="X20:AB20"/>
    <mergeCell ref="AC20:AF20"/>
    <mergeCell ref="AG20:AJ20"/>
    <mergeCell ref="AK20:AO20"/>
    <mergeCell ref="AP20:AS20"/>
    <mergeCell ref="AT21:AX21"/>
    <mergeCell ref="AY21:BB21"/>
    <mergeCell ref="BC21:BF21"/>
    <mergeCell ref="BG21:BK21"/>
    <mergeCell ref="H21:K21"/>
    <mergeCell ref="L21:O21"/>
    <mergeCell ref="T21:W21"/>
    <mergeCell ref="X21:AB21"/>
    <mergeCell ref="AC21:AF21"/>
    <mergeCell ref="AG21:AJ21"/>
    <mergeCell ref="AK21:AO21"/>
    <mergeCell ref="AP21:AS21"/>
    <mergeCell ref="P23:S23"/>
    <mergeCell ref="T23:W23"/>
    <mergeCell ref="X23:AB23"/>
    <mergeCell ref="AC23:AF23"/>
    <mergeCell ref="AG23:AJ23"/>
    <mergeCell ref="AK23:AO23"/>
    <mergeCell ref="AP23:AS23"/>
    <mergeCell ref="AT24:AX24"/>
    <mergeCell ref="AY24:BB24"/>
    <mergeCell ref="BC24:BF24"/>
    <mergeCell ref="BG24:BK24"/>
    <mergeCell ref="B24:B25"/>
    <mergeCell ref="C24:C25"/>
    <mergeCell ref="D24:D25"/>
    <mergeCell ref="E24:E25"/>
    <mergeCell ref="F24:F25"/>
    <mergeCell ref="L24:O24"/>
    <mergeCell ref="X24:AB24"/>
    <mergeCell ref="AC24:AF24"/>
    <mergeCell ref="AG24:AJ24"/>
    <mergeCell ref="AK24:AO24"/>
    <mergeCell ref="AP24:AS24"/>
    <mergeCell ref="AT25:AX25"/>
    <mergeCell ref="AY25:BB25"/>
    <mergeCell ref="BC25:BF25"/>
    <mergeCell ref="BG25:BK25"/>
    <mergeCell ref="X25:AB25"/>
    <mergeCell ref="AC25:AF25"/>
    <mergeCell ref="AG25:AJ25"/>
    <mergeCell ref="AK25:AO25"/>
    <mergeCell ref="AP25:AS25"/>
    <mergeCell ref="B26:B27"/>
    <mergeCell ref="C26:C27"/>
    <mergeCell ref="D26:D27"/>
    <mergeCell ref="E26:E27"/>
    <mergeCell ref="F26:F27"/>
    <mergeCell ref="L26:O26"/>
    <mergeCell ref="P26:S26"/>
    <mergeCell ref="T26:W26"/>
    <mergeCell ref="X26:AB26"/>
    <mergeCell ref="AC26:AF26"/>
    <mergeCell ref="AG26:AJ26"/>
    <mergeCell ref="AP26:AS26"/>
    <mergeCell ref="L27:O27"/>
    <mergeCell ref="P27:S27"/>
    <mergeCell ref="T27:W27"/>
    <mergeCell ref="X27:AB27"/>
    <mergeCell ref="AC27:AF27"/>
    <mergeCell ref="AG27:AJ27"/>
    <mergeCell ref="AP27:AS27"/>
    <mergeCell ref="B28:B29"/>
    <mergeCell ref="C28:C29"/>
    <mergeCell ref="D28:D29"/>
    <mergeCell ref="E28:E29"/>
    <mergeCell ref="F28:F29"/>
    <mergeCell ref="L28:O28"/>
    <mergeCell ref="P28:S28"/>
    <mergeCell ref="T28:W28"/>
    <mergeCell ref="X28:AB28"/>
    <mergeCell ref="AC28:AF28"/>
    <mergeCell ref="AG28:AJ28"/>
    <mergeCell ref="AP28:AS28"/>
    <mergeCell ref="L29:O29"/>
    <mergeCell ref="P29:S29"/>
    <mergeCell ref="T29:W29"/>
    <mergeCell ref="X29:AB29"/>
    <mergeCell ref="AC29:AF29"/>
    <mergeCell ref="AG29:AJ29"/>
    <mergeCell ref="AP29:AS29"/>
    <mergeCell ref="B30:B31"/>
    <mergeCell ref="C30:C31"/>
    <mergeCell ref="D30:D31"/>
    <mergeCell ref="E30:E31"/>
    <mergeCell ref="F30:F31"/>
    <mergeCell ref="B32:B33"/>
    <mergeCell ref="C32:C33"/>
    <mergeCell ref="D32:D33"/>
    <mergeCell ref="E32:E33"/>
    <mergeCell ref="F32:F33"/>
    <mergeCell ref="H32:K32"/>
    <mergeCell ref="L32:O32"/>
    <mergeCell ref="P32:S32"/>
    <mergeCell ref="T32:W32"/>
    <mergeCell ref="X32:AB32"/>
    <mergeCell ref="AC32:AF32"/>
    <mergeCell ref="AG32:AJ32"/>
    <mergeCell ref="AP32:AS32"/>
    <mergeCell ref="H33:K33"/>
    <mergeCell ref="L33:O33"/>
    <mergeCell ref="P33:S33"/>
    <mergeCell ref="T33:W33"/>
    <mergeCell ref="X33:AB33"/>
    <mergeCell ref="AC33:AF33"/>
    <mergeCell ref="AG33:AJ33"/>
    <mergeCell ref="AP33:AS33"/>
    <mergeCell ref="B34:B35"/>
    <mergeCell ref="C34:C35"/>
    <mergeCell ref="D34:D35"/>
    <mergeCell ref="E34:E35"/>
    <mergeCell ref="F34:F35"/>
    <mergeCell ref="H34:K34"/>
    <mergeCell ref="L34:O34"/>
    <mergeCell ref="P34:S34"/>
    <mergeCell ref="T34:W34"/>
    <mergeCell ref="X34:AB34"/>
    <mergeCell ref="AC34:AF34"/>
    <mergeCell ref="AG34:AJ34"/>
    <mergeCell ref="AP34:AS34"/>
    <mergeCell ref="H35:K35"/>
    <mergeCell ref="L35:O35"/>
    <mergeCell ref="P35:S35"/>
    <mergeCell ref="T35:W35"/>
    <mergeCell ref="X35:AB35"/>
    <mergeCell ref="AC35:AF35"/>
    <mergeCell ref="AG35:AJ35"/>
    <mergeCell ref="AP35:AS35"/>
    <mergeCell ref="B36:B37"/>
    <mergeCell ref="C36:C37"/>
    <mergeCell ref="D36:D37"/>
    <mergeCell ref="E36:E37"/>
    <mergeCell ref="F36:F37"/>
    <mergeCell ref="H36:K36"/>
    <mergeCell ref="L36:O36"/>
    <mergeCell ref="P36:S36"/>
    <mergeCell ref="T36:W36"/>
    <mergeCell ref="X36:AB36"/>
    <mergeCell ref="AC36:AF36"/>
    <mergeCell ref="AG36:AJ36"/>
    <mergeCell ref="AP36:AS36"/>
    <mergeCell ref="H37:K37"/>
    <mergeCell ref="L37:O37"/>
    <mergeCell ref="P37:S37"/>
    <mergeCell ref="T37:W37"/>
    <mergeCell ref="X37:AB37"/>
    <mergeCell ref="AC37:AF37"/>
    <mergeCell ref="AG37:AJ37"/>
    <mergeCell ref="AP37:AS37"/>
    <mergeCell ref="B40:B41"/>
    <mergeCell ref="C40:C41"/>
    <mergeCell ref="D40:D41"/>
    <mergeCell ref="E40:E41"/>
    <mergeCell ref="F40:F41"/>
    <mergeCell ref="B42:B43"/>
    <mergeCell ref="C42:C43"/>
    <mergeCell ref="D42:D43"/>
    <mergeCell ref="E42:E43"/>
    <mergeCell ref="F42:F43"/>
    <mergeCell ref="F46:F47"/>
    <mergeCell ref="AT45:AX45"/>
    <mergeCell ref="AY45:BB45"/>
    <mergeCell ref="BC45:BF45"/>
    <mergeCell ref="BG45:BK45"/>
    <mergeCell ref="H45:K45"/>
    <mergeCell ref="L45:O45"/>
    <mergeCell ref="P45:S45"/>
    <mergeCell ref="T45:W45"/>
    <mergeCell ref="X45:AB45"/>
    <mergeCell ref="AC45:AF45"/>
    <mergeCell ref="AG45:AJ45"/>
    <mergeCell ref="AK45:AO45"/>
    <mergeCell ref="AP45:AS45"/>
    <mergeCell ref="AG11:AJ11"/>
    <mergeCell ref="L47:O47"/>
    <mergeCell ref="AT12:AX12"/>
    <mergeCell ref="AY12:BB12"/>
    <mergeCell ref="B12:B13"/>
    <mergeCell ref="C12:C13"/>
    <mergeCell ref="D12:D13"/>
    <mergeCell ref="E12:E13"/>
    <mergeCell ref="F12:F13"/>
    <mergeCell ref="H12:K12"/>
    <mergeCell ref="L12:O12"/>
    <mergeCell ref="P12:S12"/>
    <mergeCell ref="T12:W12"/>
    <mergeCell ref="X12:AB12"/>
    <mergeCell ref="AC12:AF12"/>
    <mergeCell ref="AG12:AJ12"/>
    <mergeCell ref="AK12:AO12"/>
    <mergeCell ref="AP12:AS12"/>
    <mergeCell ref="AT44:AX44"/>
    <mergeCell ref="AY44:BB44"/>
    <mergeCell ref="B46:B47"/>
    <mergeCell ref="C46:C47"/>
    <mergeCell ref="D46:D47"/>
    <mergeCell ref="E46:E47"/>
    <mergeCell ref="AP6:AS6"/>
    <mergeCell ref="AT10:AX10"/>
    <mergeCell ref="AY10:BB10"/>
    <mergeCell ref="B10:B11"/>
    <mergeCell ref="C10:C11"/>
    <mergeCell ref="D10:D11"/>
    <mergeCell ref="E10:E11"/>
    <mergeCell ref="F10:F11"/>
    <mergeCell ref="H10:K10"/>
    <mergeCell ref="L10:O10"/>
    <mergeCell ref="P10:S10"/>
    <mergeCell ref="T10:W10"/>
    <mergeCell ref="X10:AB10"/>
    <mergeCell ref="AC10:AF10"/>
    <mergeCell ref="AG10:AJ10"/>
    <mergeCell ref="AK10:AO10"/>
    <mergeCell ref="AP10:AS10"/>
    <mergeCell ref="AY11:BB11"/>
    <mergeCell ref="H11:K11"/>
    <mergeCell ref="L11:O11"/>
    <mergeCell ref="P11:S11"/>
    <mergeCell ref="T11:W11"/>
    <mergeCell ref="X11:AB11"/>
    <mergeCell ref="AC11:AF11"/>
    <mergeCell ref="F6:F7"/>
    <mergeCell ref="H6:K6"/>
    <mergeCell ref="L6:O6"/>
    <mergeCell ref="P6:S6"/>
    <mergeCell ref="T6:W6"/>
    <mergeCell ref="X6:AB6"/>
    <mergeCell ref="AC6:AF6"/>
    <mergeCell ref="AG6:AJ6"/>
    <mergeCell ref="AK6:AO6"/>
    <mergeCell ref="BC44:BF44"/>
    <mergeCell ref="BG44:BK44"/>
    <mergeCell ref="B44:B45"/>
    <mergeCell ref="C44:C45"/>
    <mergeCell ref="D44:D45"/>
    <mergeCell ref="E44:E45"/>
    <mergeCell ref="F44:F45"/>
    <mergeCell ref="H44:K44"/>
    <mergeCell ref="L44:O44"/>
    <mergeCell ref="P44:S44"/>
    <mergeCell ref="T44:W44"/>
    <mergeCell ref="X44:AB44"/>
    <mergeCell ref="AC44:AF44"/>
    <mergeCell ref="AG44:AJ44"/>
    <mergeCell ref="AK44:AO44"/>
    <mergeCell ref="AP44:AS44"/>
    <mergeCell ref="AP7:AS7"/>
    <mergeCell ref="AT11:AX11"/>
    <mergeCell ref="AT4:AX4"/>
    <mergeCell ref="AY4:BB4"/>
    <mergeCell ref="B4:B5"/>
    <mergeCell ref="C4:C5"/>
    <mergeCell ref="D4:D5"/>
    <mergeCell ref="E4:E5"/>
    <mergeCell ref="F4:F5"/>
    <mergeCell ref="H4:K4"/>
    <mergeCell ref="L4:O4"/>
    <mergeCell ref="P4:S4"/>
    <mergeCell ref="T4:W4"/>
    <mergeCell ref="X4:AB4"/>
    <mergeCell ref="AC4:AF4"/>
    <mergeCell ref="AG4:AJ4"/>
    <mergeCell ref="AK4:AO4"/>
    <mergeCell ref="AP4:AS4"/>
    <mergeCell ref="AT6:AX6"/>
    <mergeCell ref="AY6:BB6"/>
    <mergeCell ref="B6:B7"/>
    <mergeCell ref="C6:C7"/>
    <mergeCell ref="D6:D7"/>
    <mergeCell ref="E6:E7"/>
    <mergeCell ref="AK11:AO11"/>
    <mergeCell ref="AP11:AS11"/>
    <mergeCell ref="L46:O46"/>
    <mergeCell ref="AT5:AX5"/>
    <mergeCell ref="AY5:BB5"/>
    <mergeCell ref="H5:K5"/>
    <mergeCell ref="L5:O5"/>
    <mergeCell ref="P5:S5"/>
    <mergeCell ref="T5:W5"/>
    <mergeCell ref="X5:AB5"/>
    <mergeCell ref="AC5:AF5"/>
    <mergeCell ref="AG5:AJ5"/>
    <mergeCell ref="AK5:AO5"/>
    <mergeCell ref="AP5:AS5"/>
    <mergeCell ref="AT7:AX7"/>
    <mergeCell ref="AY7:BB7"/>
    <mergeCell ref="H7:K7"/>
    <mergeCell ref="L7:O7"/>
    <mergeCell ref="P7:S7"/>
    <mergeCell ref="T7:W7"/>
    <mergeCell ref="X7:AB7"/>
    <mergeCell ref="AC7:AF7"/>
    <mergeCell ref="AG7:AJ7"/>
    <mergeCell ref="AK7:AO7"/>
  </mergeCells>
  <phoneticPr fontId="0" type="noConversion"/>
  <pageMargins left="0.70078740157480313" right="0.70078740157480313" top="0.75196850393700787" bottom="0.75196850393700787" header="0.29921259842519687" footer="0.29921259842519687"/>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error="数据不在限制范围内" xr:uid="{00000000-0002-0000-0300-000000000000}">
          <x14:formula1>
            <xm:f>基础数据!$C$2:$C$6</xm:f>
          </x14:formula1>
          <xm:sqref>D28:E28 D26 E38 E40 D18:E18 D34:E34 D32:E32 D30:E30 E16 D8:E8 D46:E46 D4:E4 D44:E44 D6:E6 D10:E10 D12:E12 E42</xm:sqref>
        </x14:dataValidation>
        <x14:dataValidation type="list" allowBlank="1" showInputMessage="1" showErrorMessage="1" xr:uid="{00000000-0002-0000-0300-000001000000}">
          <x14:formula1>
            <xm:f>基础数据!$D$2:$D$9</xm:f>
          </x14:formula1>
          <xm:sqref>D20</xm:sqref>
        </x14:dataValidation>
        <x14:dataValidation type="list" allowBlank="1" showInputMessage="1" showErrorMessage="1" xr:uid="{00000000-0002-0000-0300-000002000000}">
          <x14:formula1>
            <xm:f>基础数据!$C$2:$C$6</xm:f>
          </x14:formula1>
          <xm:sqref>E20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outlinePr summaryBelow="0" summaryRight="0"/>
  </sheetPr>
  <dimension ref="A1:AB14"/>
  <sheetViews>
    <sheetView showGridLines="0" zoomScale="110" zoomScaleNormal="110" workbookViewId="0">
      <pane xSplit="6" ySplit="3" topLeftCell="G4" activePane="bottomRight" state="frozen"/>
      <selection pane="topRight"/>
      <selection pane="bottomLeft"/>
      <selection pane="bottomRight" activeCell="G4" sqref="G4"/>
    </sheetView>
  </sheetViews>
  <sheetFormatPr defaultColWidth="11.44140625" defaultRowHeight="45.75" customHeight="1" x14ac:dyDescent="0.35"/>
  <cols>
    <col min="1" max="1" width="10" style="2" customWidth="1"/>
    <col min="2" max="2" width="5.5546875" style="2" customWidth="1"/>
    <col min="3" max="3" width="7.21875" style="2" customWidth="1"/>
    <col min="4" max="4" width="9.109375" style="2" customWidth="1"/>
    <col min="5" max="5" width="12" style="2" customWidth="1"/>
    <col min="6" max="6" width="5.33203125" style="2" customWidth="1"/>
    <col min="7" max="7" width="15" style="2" hidden="1" customWidth="1"/>
    <col min="8" max="9" width="16.5546875" style="2" hidden="1" customWidth="1"/>
    <col min="10" max="12" width="45.88671875" style="2" hidden="1" customWidth="1"/>
    <col min="13" max="13" width="21.21875" style="2" hidden="1" customWidth="1"/>
    <col min="14" max="21" width="45.88671875" style="2" hidden="1" customWidth="1"/>
    <col min="22" max="24" width="45.88671875" style="2" customWidth="1"/>
    <col min="25" max="28" width="14.21875" style="2" customWidth="1"/>
  </cols>
  <sheetData>
    <row r="1" spans="1:28" ht="25.8" x14ac:dyDescent="0.35">
      <c r="A1" s="400" t="s">
        <v>1611</v>
      </c>
      <c r="B1" s="400"/>
      <c r="C1" s="400"/>
      <c r="D1" s="400"/>
      <c r="E1" s="400"/>
      <c r="F1" s="400"/>
    </row>
    <row r="2" spans="1:28" ht="15.6" x14ac:dyDescent="0.25">
      <c r="A2" s="237" t="s">
        <v>0</v>
      </c>
      <c r="B2" s="237" t="s">
        <v>1</v>
      </c>
      <c r="C2" s="227" t="s">
        <v>2</v>
      </c>
      <c r="D2" s="227" t="s">
        <v>3</v>
      </c>
      <c r="E2" s="228" t="s">
        <v>4</v>
      </c>
      <c r="F2" s="227"/>
      <c r="G2" s="237" t="s">
        <v>15</v>
      </c>
      <c r="H2" s="237"/>
      <c r="I2" s="237"/>
      <c r="J2" s="237"/>
      <c r="K2" s="237"/>
      <c r="L2" s="237" t="s">
        <v>16</v>
      </c>
      <c r="M2" s="237"/>
      <c r="N2" s="237"/>
      <c r="O2" s="237"/>
      <c r="P2" s="237" t="s">
        <v>17</v>
      </c>
      <c r="Q2" s="237"/>
      <c r="R2" s="237"/>
      <c r="S2" s="237"/>
      <c r="T2" s="237" t="s">
        <v>6</v>
      </c>
      <c r="U2" s="237"/>
      <c r="V2" s="237"/>
      <c r="W2" s="237"/>
      <c r="X2" s="237"/>
      <c r="Y2" s="227" t="s">
        <v>18</v>
      </c>
      <c r="Z2" s="227"/>
      <c r="AA2" s="227"/>
      <c r="AB2" s="227"/>
    </row>
    <row r="3" spans="1:28" ht="31.2" x14ac:dyDescent="0.25">
      <c r="A3" s="237"/>
      <c r="B3" s="237"/>
      <c r="C3" s="227"/>
      <c r="D3" s="227"/>
      <c r="E3" s="228"/>
      <c r="F3" s="227"/>
      <c r="G3" s="29" t="s">
        <v>1612</v>
      </c>
      <c r="H3" s="29" t="s">
        <v>1613</v>
      </c>
      <c r="I3" s="29" t="s">
        <v>1614</v>
      </c>
      <c r="J3" s="29" t="s">
        <v>1615</v>
      </c>
      <c r="K3" s="29" t="s">
        <v>1616</v>
      </c>
      <c r="L3" s="29" t="s">
        <v>1617</v>
      </c>
      <c r="M3" s="29" t="s">
        <v>1618</v>
      </c>
      <c r="N3" s="29" t="s">
        <v>1619</v>
      </c>
      <c r="O3" s="29" t="s">
        <v>1620</v>
      </c>
      <c r="P3" s="29" t="s">
        <v>1621</v>
      </c>
      <c r="Q3" s="29" t="s">
        <v>1622</v>
      </c>
      <c r="R3" s="29" t="s">
        <v>1623</v>
      </c>
      <c r="S3" s="29" t="s">
        <v>1624</v>
      </c>
      <c r="T3" s="29" t="s">
        <v>1625</v>
      </c>
      <c r="U3" s="29" t="s">
        <v>1626</v>
      </c>
      <c r="V3" s="29" t="s">
        <v>1627</v>
      </c>
      <c r="W3" s="29" t="s">
        <v>1628</v>
      </c>
      <c r="X3" s="29" t="s">
        <v>1629</v>
      </c>
      <c r="Y3" s="1" t="s">
        <v>75</v>
      </c>
      <c r="Z3" s="1" t="s">
        <v>76</v>
      </c>
      <c r="AA3" s="1" t="s">
        <v>77</v>
      </c>
      <c r="AB3" s="1" t="s">
        <v>78</v>
      </c>
    </row>
    <row r="4" spans="1:28" ht="43.5" customHeight="1" x14ac:dyDescent="0.25">
      <c r="A4" s="231" t="s">
        <v>1630</v>
      </c>
      <c r="B4" s="231" t="s">
        <v>1631</v>
      </c>
      <c r="C4" s="355" t="s">
        <v>81</v>
      </c>
      <c r="D4" s="281" t="s">
        <v>238</v>
      </c>
      <c r="E4" s="225" t="s">
        <v>1632</v>
      </c>
      <c r="F4" s="27" t="s">
        <v>84</v>
      </c>
      <c r="G4" s="3"/>
      <c r="H4" s="3"/>
      <c r="I4" s="3"/>
      <c r="J4" s="3"/>
      <c r="K4" s="3" t="s">
        <v>1633</v>
      </c>
      <c r="L4" s="3"/>
      <c r="M4" s="3" t="s">
        <v>1634</v>
      </c>
      <c r="N4" s="3" t="s">
        <v>1635</v>
      </c>
      <c r="O4" s="3" t="s">
        <v>1636</v>
      </c>
      <c r="P4" s="3" t="s">
        <v>1637</v>
      </c>
      <c r="Q4" s="3" t="s">
        <v>1638</v>
      </c>
      <c r="R4" s="3" t="s">
        <v>1639</v>
      </c>
      <c r="S4" s="3" t="s">
        <v>1640</v>
      </c>
      <c r="T4" s="3" t="s">
        <v>1641</v>
      </c>
      <c r="U4" s="3" t="s">
        <v>1854</v>
      </c>
      <c r="V4" s="3" t="s">
        <v>1901</v>
      </c>
      <c r="W4" s="3" t="s">
        <v>2020</v>
      </c>
      <c r="X4" s="3"/>
      <c r="Y4" s="11"/>
      <c r="Z4" s="11"/>
      <c r="AA4" s="11"/>
      <c r="AB4" s="11"/>
    </row>
    <row r="5" spans="1:28" ht="59.25" customHeight="1" x14ac:dyDescent="0.25">
      <c r="A5" s="231"/>
      <c r="B5" s="231"/>
      <c r="C5" s="355"/>
      <c r="D5" s="281"/>
      <c r="E5" s="225"/>
      <c r="F5" s="5" t="s">
        <v>120</v>
      </c>
      <c r="G5" s="6"/>
      <c r="H5" s="6"/>
      <c r="I5" s="6"/>
      <c r="J5" s="6" t="s">
        <v>1642</v>
      </c>
      <c r="K5" s="6"/>
      <c r="L5" s="6"/>
      <c r="M5" s="6" t="s">
        <v>1643</v>
      </c>
      <c r="N5" s="6" t="s">
        <v>1644</v>
      </c>
      <c r="O5" s="6" t="s">
        <v>1645</v>
      </c>
      <c r="P5" s="6" t="s">
        <v>1646</v>
      </c>
      <c r="Q5" s="6" t="s">
        <v>1647</v>
      </c>
      <c r="R5" s="6" t="s">
        <v>1648</v>
      </c>
      <c r="S5" s="6" t="s">
        <v>1849</v>
      </c>
      <c r="T5" s="6" t="s">
        <v>1855</v>
      </c>
      <c r="U5" s="6" t="s">
        <v>2021</v>
      </c>
      <c r="V5" s="6" t="s">
        <v>2022</v>
      </c>
      <c r="W5" s="6"/>
      <c r="X5" s="6"/>
      <c r="Y5" s="13"/>
      <c r="Z5" s="13"/>
      <c r="AA5" s="13"/>
      <c r="AB5" s="14"/>
    </row>
    <row r="6" spans="1:28" ht="58.5" customHeight="1" x14ac:dyDescent="0.25">
      <c r="A6" s="231" t="s">
        <v>1649</v>
      </c>
      <c r="B6" s="231" t="s">
        <v>1631</v>
      </c>
      <c r="C6" s="355" t="s">
        <v>81</v>
      </c>
      <c r="D6" s="281" t="s">
        <v>238</v>
      </c>
      <c r="E6" s="225" t="s">
        <v>1650</v>
      </c>
      <c r="F6" s="17" t="s">
        <v>84</v>
      </c>
      <c r="G6" s="3"/>
      <c r="H6" s="3"/>
      <c r="I6" s="3"/>
      <c r="J6" s="3" t="s">
        <v>1651</v>
      </c>
      <c r="K6" s="3" t="s">
        <v>1652</v>
      </c>
      <c r="L6" s="3"/>
      <c r="M6" s="3"/>
      <c r="N6" s="3" t="s">
        <v>1653</v>
      </c>
      <c r="O6" s="3" t="s">
        <v>1654</v>
      </c>
      <c r="P6" s="92" t="s">
        <v>1655</v>
      </c>
      <c r="Q6" s="3" t="s">
        <v>1656</v>
      </c>
      <c r="R6" s="3" t="s">
        <v>1657</v>
      </c>
      <c r="S6" s="3" t="s">
        <v>1658</v>
      </c>
      <c r="T6" s="3" t="s">
        <v>1659</v>
      </c>
      <c r="U6" s="3" t="s">
        <v>1856</v>
      </c>
      <c r="V6" s="3" t="s">
        <v>1902</v>
      </c>
      <c r="W6" s="3" t="s">
        <v>2023</v>
      </c>
      <c r="X6" s="3"/>
      <c r="Y6" s="11"/>
      <c r="Z6" s="11"/>
      <c r="AA6" s="11"/>
      <c r="AB6" s="10"/>
    </row>
    <row r="7" spans="1:28" ht="71.25" customHeight="1" x14ac:dyDescent="0.25">
      <c r="A7" s="231"/>
      <c r="B7" s="231"/>
      <c r="C7" s="355"/>
      <c r="D7" s="281"/>
      <c r="E7" s="225"/>
      <c r="F7" s="5" t="s">
        <v>120</v>
      </c>
      <c r="G7" s="6"/>
      <c r="H7" s="6"/>
      <c r="I7" s="6"/>
      <c r="J7" s="6" t="s">
        <v>1660</v>
      </c>
      <c r="K7" s="6"/>
      <c r="L7" s="6"/>
      <c r="M7" s="6" t="s">
        <v>1661</v>
      </c>
      <c r="N7" s="52" t="s">
        <v>1662</v>
      </c>
      <c r="O7" s="6" t="s">
        <v>1663</v>
      </c>
      <c r="P7" s="6" t="s">
        <v>1664</v>
      </c>
      <c r="Q7" s="6" t="s">
        <v>1665</v>
      </c>
      <c r="R7" s="6" t="s">
        <v>1666</v>
      </c>
      <c r="S7" s="6" t="s">
        <v>1667</v>
      </c>
      <c r="T7" s="6" t="s">
        <v>1857</v>
      </c>
      <c r="U7" s="6" t="s">
        <v>1903</v>
      </c>
      <c r="V7" s="6" t="s">
        <v>2031</v>
      </c>
      <c r="W7" s="6"/>
      <c r="X7" s="6"/>
      <c r="Y7" s="13"/>
      <c r="Z7" s="13"/>
      <c r="AA7" s="13"/>
      <c r="AB7" s="14"/>
    </row>
    <row r="8" spans="1:28" ht="43.5" customHeight="1" x14ac:dyDescent="0.25">
      <c r="A8" s="231" t="s">
        <v>1668</v>
      </c>
      <c r="B8" s="231" t="s">
        <v>1631</v>
      </c>
      <c r="C8" s="355" t="s">
        <v>81</v>
      </c>
      <c r="D8" s="281" t="s">
        <v>238</v>
      </c>
      <c r="E8" s="225"/>
      <c r="F8" s="17" t="s">
        <v>84</v>
      </c>
      <c r="G8" s="92"/>
      <c r="H8" s="92"/>
      <c r="I8" s="92"/>
      <c r="J8" s="92"/>
      <c r="K8" s="92" t="s">
        <v>1669</v>
      </c>
      <c r="L8" s="92" t="s">
        <v>1670</v>
      </c>
      <c r="M8" s="92" t="s">
        <v>1671</v>
      </c>
      <c r="N8" s="92" t="s">
        <v>1672</v>
      </c>
      <c r="O8" s="92" t="s">
        <v>1673</v>
      </c>
      <c r="P8" s="92" t="s">
        <v>1674</v>
      </c>
      <c r="Q8" s="92" t="s">
        <v>1675</v>
      </c>
      <c r="R8" s="51" t="s">
        <v>1674</v>
      </c>
      <c r="S8" s="51" t="s">
        <v>1674</v>
      </c>
      <c r="T8" s="92" t="s">
        <v>1676</v>
      </c>
      <c r="U8" s="92" t="s">
        <v>1858</v>
      </c>
      <c r="V8" s="92" t="s">
        <v>1904</v>
      </c>
      <c r="W8" s="92" t="s">
        <v>2024</v>
      </c>
      <c r="X8" s="92"/>
      <c r="Y8" s="11"/>
      <c r="Z8" s="11"/>
      <c r="AA8" s="10"/>
      <c r="AB8" s="10"/>
    </row>
    <row r="9" spans="1:28" ht="62.25" customHeight="1" x14ac:dyDescent="0.25">
      <c r="A9" s="231"/>
      <c r="B9" s="231"/>
      <c r="C9" s="355"/>
      <c r="D9" s="281"/>
      <c r="E9" s="225"/>
      <c r="F9" s="5" t="s">
        <v>120</v>
      </c>
      <c r="G9" s="97"/>
      <c r="H9" s="6"/>
      <c r="I9" s="6"/>
      <c r="J9" s="6" t="s">
        <v>1677</v>
      </c>
      <c r="K9" s="6" t="s">
        <v>1678</v>
      </c>
      <c r="L9" s="6" t="s">
        <v>1678</v>
      </c>
      <c r="M9" s="6" t="s">
        <v>1678</v>
      </c>
      <c r="N9" s="6" t="s">
        <v>1679</v>
      </c>
      <c r="O9" s="6" t="s">
        <v>1680</v>
      </c>
      <c r="P9" s="6" t="s">
        <v>1681</v>
      </c>
      <c r="Q9" s="6" t="s">
        <v>1682</v>
      </c>
      <c r="R9" s="6" t="s">
        <v>1683</v>
      </c>
      <c r="S9" s="6" t="s">
        <v>1684</v>
      </c>
      <c r="T9" s="6" t="s">
        <v>1859</v>
      </c>
      <c r="U9" s="6" t="s">
        <v>1905</v>
      </c>
      <c r="V9" s="6" t="s">
        <v>2025</v>
      </c>
      <c r="W9" s="6"/>
      <c r="X9" s="6"/>
      <c r="Y9" s="132"/>
      <c r="Z9" s="133"/>
      <c r="AA9" s="132"/>
      <c r="AB9" s="133"/>
    </row>
    <row r="10" spans="1:28" ht="47.25" customHeight="1" x14ac:dyDescent="0.25">
      <c r="A10" s="231" t="s">
        <v>1685</v>
      </c>
      <c r="B10" s="231" t="s">
        <v>1631</v>
      </c>
      <c r="C10" s="355" t="s">
        <v>81</v>
      </c>
      <c r="D10" s="281" t="s">
        <v>238</v>
      </c>
      <c r="E10" s="225" t="s">
        <v>1686</v>
      </c>
      <c r="F10" s="17" t="s">
        <v>84</v>
      </c>
      <c r="G10" s="11"/>
      <c r="H10" s="92"/>
      <c r="I10" s="11"/>
      <c r="J10" s="177"/>
      <c r="K10" s="177"/>
      <c r="L10" s="177"/>
      <c r="M10" s="177" t="s">
        <v>1687</v>
      </c>
      <c r="N10" s="177" t="s">
        <v>1688</v>
      </c>
      <c r="O10" s="178" t="s">
        <v>1689</v>
      </c>
      <c r="P10" s="92" t="s">
        <v>1690</v>
      </c>
      <c r="Q10" s="92" t="s">
        <v>1691</v>
      </c>
      <c r="R10" s="178" t="s">
        <v>1692</v>
      </c>
      <c r="S10" s="178" t="s">
        <v>1693</v>
      </c>
      <c r="T10" s="178" t="s">
        <v>1694</v>
      </c>
      <c r="U10" s="178" t="s">
        <v>1860</v>
      </c>
      <c r="V10" s="92" t="s">
        <v>1906</v>
      </c>
      <c r="W10" s="92" t="s">
        <v>2026</v>
      </c>
      <c r="X10" s="177"/>
      <c r="Y10" s="11"/>
      <c r="Z10" s="11"/>
      <c r="AA10" s="11"/>
      <c r="AB10" s="10"/>
    </row>
    <row r="11" spans="1:28" ht="72.75" customHeight="1" x14ac:dyDescent="0.25">
      <c r="A11" s="402"/>
      <c r="B11" s="231"/>
      <c r="C11" s="355"/>
      <c r="D11" s="281"/>
      <c r="E11" s="225"/>
      <c r="F11" s="5" t="s">
        <v>120</v>
      </c>
      <c r="G11" s="97"/>
      <c r="H11" s="97"/>
      <c r="I11" s="6"/>
      <c r="J11" s="6"/>
      <c r="K11" s="6"/>
      <c r="L11" s="6"/>
      <c r="M11" s="6" t="s">
        <v>1695</v>
      </c>
      <c r="N11" s="6" t="s">
        <v>1696</v>
      </c>
      <c r="O11" s="6" t="s">
        <v>1697</v>
      </c>
      <c r="P11" s="6" t="s">
        <v>1698</v>
      </c>
      <c r="Q11" s="6" t="s">
        <v>1699</v>
      </c>
      <c r="R11" s="6" t="s">
        <v>1700</v>
      </c>
      <c r="S11" s="119" t="s">
        <v>1701</v>
      </c>
      <c r="T11" s="6" t="s">
        <v>1861</v>
      </c>
      <c r="U11" s="6" t="s">
        <v>1907</v>
      </c>
      <c r="V11" s="6" t="s">
        <v>2027</v>
      </c>
      <c r="W11" s="6"/>
      <c r="X11" s="6"/>
      <c r="Y11" s="13"/>
      <c r="Z11" s="13"/>
      <c r="AA11" s="13"/>
      <c r="AB11" s="14"/>
    </row>
    <row r="12" spans="1:28" ht="47.25" customHeight="1" x14ac:dyDescent="0.25">
      <c r="A12" s="231" t="s">
        <v>1702</v>
      </c>
      <c r="B12" s="401" t="s">
        <v>1631</v>
      </c>
      <c r="C12" s="355" t="s">
        <v>81</v>
      </c>
      <c r="D12" s="281" t="s">
        <v>238</v>
      </c>
      <c r="E12" s="225" t="s">
        <v>1703</v>
      </c>
      <c r="F12" s="17" t="s">
        <v>84</v>
      </c>
      <c r="G12" s="11"/>
      <c r="H12" s="92"/>
      <c r="I12" s="11"/>
      <c r="J12" s="177"/>
      <c r="K12" s="177"/>
      <c r="L12" s="177"/>
      <c r="M12" s="177" t="s">
        <v>1687</v>
      </c>
      <c r="N12" s="177"/>
      <c r="O12" s="178" t="s">
        <v>1704</v>
      </c>
      <c r="P12" s="92" t="s">
        <v>1705</v>
      </c>
      <c r="Q12" s="92" t="s">
        <v>1706</v>
      </c>
      <c r="R12" s="201" t="s">
        <v>1707</v>
      </c>
      <c r="S12" s="178" t="s">
        <v>1708</v>
      </c>
      <c r="T12" s="178" t="s">
        <v>1709</v>
      </c>
      <c r="U12" s="178" t="s">
        <v>1862</v>
      </c>
      <c r="V12" s="92" t="s">
        <v>2028</v>
      </c>
      <c r="W12" s="177"/>
      <c r="X12" s="177"/>
      <c r="Y12" s="11"/>
      <c r="Z12" s="11"/>
      <c r="AA12" s="11"/>
      <c r="AB12" s="10"/>
    </row>
    <row r="13" spans="1:28" ht="66.75" customHeight="1" x14ac:dyDescent="0.25">
      <c r="A13" s="231"/>
      <c r="B13" s="401"/>
      <c r="C13" s="355"/>
      <c r="D13" s="281"/>
      <c r="E13" s="225"/>
      <c r="F13" s="5" t="s">
        <v>120</v>
      </c>
      <c r="G13" s="97"/>
      <c r="H13" s="97"/>
      <c r="I13" s="6"/>
      <c r="J13" s="6"/>
      <c r="K13" s="6"/>
      <c r="L13" s="6"/>
      <c r="M13" s="6" t="s">
        <v>1695</v>
      </c>
      <c r="N13" s="6"/>
      <c r="O13" s="6" t="s">
        <v>1710</v>
      </c>
      <c r="P13" s="6" t="s">
        <v>1711</v>
      </c>
      <c r="Q13" s="52" t="s">
        <v>1712</v>
      </c>
      <c r="R13" s="6" t="s">
        <v>1713</v>
      </c>
      <c r="S13" s="6" t="s">
        <v>1714</v>
      </c>
      <c r="T13" s="6" t="s">
        <v>1863</v>
      </c>
      <c r="U13" s="6" t="s">
        <v>1908</v>
      </c>
      <c r="V13" s="6"/>
      <c r="W13" s="6"/>
      <c r="X13" s="6"/>
      <c r="Y13" s="13"/>
      <c r="Z13" s="13"/>
      <c r="AA13" s="13"/>
      <c r="AB13" s="14"/>
    </row>
    <row r="14" spans="1:28" ht="45.75" customHeight="1" x14ac:dyDescent="0.35">
      <c r="A14" s="2" t="s">
        <v>2137</v>
      </c>
    </row>
  </sheetData>
  <mergeCells count="37">
    <mergeCell ref="Y2:AB2"/>
    <mergeCell ref="A4:A5"/>
    <mergeCell ref="B4:B5"/>
    <mergeCell ref="C4:C5"/>
    <mergeCell ref="D4:D5"/>
    <mergeCell ref="E4:E5"/>
    <mergeCell ref="G2:K2"/>
    <mergeCell ref="L2:O2"/>
    <mergeCell ref="P2:S2"/>
    <mergeCell ref="T2:X2"/>
    <mergeCell ref="A2:A3"/>
    <mergeCell ref="B2:B3"/>
    <mergeCell ref="C2:C3"/>
    <mergeCell ref="D2:D3"/>
    <mergeCell ref="E2:E3"/>
    <mergeCell ref="F2:F3"/>
    <mergeCell ref="A6:A7"/>
    <mergeCell ref="B6:B7"/>
    <mergeCell ref="C6:C7"/>
    <mergeCell ref="D6:D7"/>
    <mergeCell ref="E6:E7"/>
    <mergeCell ref="A1:F1"/>
    <mergeCell ref="A12:A13"/>
    <mergeCell ref="B12:B13"/>
    <mergeCell ref="C12:C13"/>
    <mergeCell ref="D12:D13"/>
    <mergeCell ref="E12:E13"/>
    <mergeCell ref="A10:A11"/>
    <mergeCell ref="B10:B11"/>
    <mergeCell ref="C10:C11"/>
    <mergeCell ref="D10:D11"/>
    <mergeCell ref="E10:E11"/>
    <mergeCell ref="A8:A9"/>
    <mergeCell ref="B8:B9"/>
    <mergeCell ref="C8:C9"/>
    <mergeCell ref="D8:D9"/>
    <mergeCell ref="E8:E9"/>
  </mergeCells>
  <phoneticPr fontId="60" type="noConversion"/>
  <pageMargins left="0.70078740157480313" right="0.70078740157480313" top="0.75196850393700787" bottom="0.75196850393700787" header="0.29921259842519687" footer="0.29921259842519687"/>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error="数据不在限制范围内" xr:uid="{00000000-0002-0000-0400-000000000000}">
          <x14:formula1>
            <xm:f>基础数据!$C$2:$C$6</xm:f>
          </x14:formula1>
          <xm:sqref>C4:D4 C12:D12 C10:D10 C8:D8 C6:D6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60"/>
  <sheetViews>
    <sheetView showGridLines="0" tabSelected="1" topLeftCell="A43" zoomScale="140" zoomScaleNormal="140" workbookViewId="0">
      <selection activeCell="C60" sqref="C60"/>
    </sheetView>
  </sheetViews>
  <sheetFormatPr defaultRowHeight="13.8" x14ac:dyDescent="0.25"/>
  <cols>
    <col min="1" max="1" width="15.109375" bestFit="1" customWidth="1"/>
    <col min="2" max="2" width="24.33203125" bestFit="1" customWidth="1"/>
    <col min="3" max="3" width="13.5546875" bestFit="1" customWidth="1"/>
    <col min="4" max="6" width="12.77734375" bestFit="1" customWidth="1"/>
    <col min="7" max="7" width="17.5546875" bestFit="1" customWidth="1"/>
    <col min="8" max="8" width="11.5546875" bestFit="1" customWidth="1"/>
    <col min="9" max="9" width="13.77734375" bestFit="1" customWidth="1"/>
  </cols>
  <sheetData>
    <row r="1" spans="1:8" x14ac:dyDescent="0.25">
      <c r="A1" s="19" t="s">
        <v>1715</v>
      </c>
      <c r="B1" s="19" t="s">
        <v>1716</v>
      </c>
      <c r="C1" s="19" t="s">
        <v>3</v>
      </c>
      <c r="D1" s="19" t="s">
        <v>1717</v>
      </c>
      <c r="E1" s="19" t="s">
        <v>1718</v>
      </c>
      <c r="F1" s="19" t="s">
        <v>1719</v>
      </c>
      <c r="G1" s="19" t="s">
        <v>1720</v>
      </c>
      <c r="H1" s="19" t="s">
        <v>1721</v>
      </c>
    </row>
    <row r="2" spans="1:8" x14ac:dyDescent="0.25">
      <c r="A2" s="20" t="s">
        <v>1722</v>
      </c>
      <c r="B2" s="20" t="s">
        <v>1723</v>
      </c>
      <c r="C2" s="20" t="s">
        <v>82</v>
      </c>
      <c r="D2" s="21" t="s">
        <v>1724</v>
      </c>
      <c r="E2" s="20" t="s">
        <v>1725</v>
      </c>
      <c r="F2" s="20" t="s">
        <v>1726</v>
      </c>
      <c r="G2" s="20" t="s">
        <v>189</v>
      </c>
      <c r="H2" s="22" t="s">
        <v>1727</v>
      </c>
    </row>
    <row r="3" spans="1:8" x14ac:dyDescent="0.25">
      <c r="A3" s="20" t="s">
        <v>1728</v>
      </c>
      <c r="B3" s="20" t="s">
        <v>1729</v>
      </c>
      <c r="C3" s="20" t="s">
        <v>544</v>
      </c>
      <c r="D3" s="21" t="s">
        <v>81</v>
      </c>
      <c r="E3" s="20" t="s">
        <v>1730</v>
      </c>
      <c r="F3" s="20" t="s">
        <v>1731</v>
      </c>
      <c r="G3" s="20" t="s">
        <v>1732</v>
      </c>
      <c r="H3" s="22" t="s">
        <v>1733</v>
      </c>
    </row>
    <row r="4" spans="1:8" x14ac:dyDescent="0.25">
      <c r="A4" s="20" t="s">
        <v>1734</v>
      </c>
      <c r="B4" s="20" t="s">
        <v>1735</v>
      </c>
      <c r="C4" s="20" t="s">
        <v>238</v>
      </c>
      <c r="D4" s="21" t="s">
        <v>543</v>
      </c>
      <c r="E4" s="20" t="s">
        <v>1736</v>
      </c>
      <c r="F4" s="20" t="s">
        <v>1737</v>
      </c>
      <c r="G4" s="20" t="s">
        <v>448</v>
      </c>
      <c r="H4" s="22" t="s">
        <v>1738</v>
      </c>
    </row>
    <row r="5" spans="1:8" x14ac:dyDescent="0.25">
      <c r="A5" s="20" t="s">
        <v>1739</v>
      </c>
      <c r="B5" s="20" t="s">
        <v>1740</v>
      </c>
      <c r="C5" s="20" t="s">
        <v>1393</v>
      </c>
      <c r="D5" s="21" t="s">
        <v>1741</v>
      </c>
      <c r="E5" s="20" t="s">
        <v>1742</v>
      </c>
      <c r="F5" s="20" t="s">
        <v>1743</v>
      </c>
      <c r="G5" s="20" t="s">
        <v>617</v>
      </c>
      <c r="H5" s="22" t="s">
        <v>1744</v>
      </c>
    </row>
    <row r="6" spans="1:8" x14ac:dyDescent="0.25">
      <c r="A6" s="20" t="s">
        <v>1745</v>
      </c>
      <c r="B6" s="20" t="s">
        <v>1746</v>
      </c>
      <c r="C6" s="20" t="s">
        <v>518</v>
      </c>
      <c r="D6" s="21" t="s">
        <v>1747</v>
      </c>
      <c r="E6" s="20" t="s">
        <v>1748</v>
      </c>
      <c r="F6" s="20" t="s">
        <v>1749</v>
      </c>
      <c r="G6" s="20" t="s">
        <v>1750</v>
      </c>
      <c r="H6" s="22" t="s">
        <v>1751</v>
      </c>
    </row>
    <row r="7" spans="1:8" x14ac:dyDescent="0.25">
      <c r="A7" s="20" t="s">
        <v>1752</v>
      </c>
      <c r="B7" s="20" t="s">
        <v>1753</v>
      </c>
      <c r="C7" s="20"/>
      <c r="D7" s="20" t="s">
        <v>1034</v>
      </c>
      <c r="E7" s="20" t="s">
        <v>1754</v>
      </c>
      <c r="F7" s="20"/>
      <c r="G7" s="20" t="s">
        <v>1755</v>
      </c>
      <c r="H7" s="22" t="s">
        <v>1756</v>
      </c>
    </row>
    <row r="8" spans="1:8" x14ac:dyDescent="0.25">
      <c r="A8" s="20" t="s">
        <v>1757</v>
      </c>
      <c r="B8" s="20" t="s">
        <v>1758</v>
      </c>
      <c r="C8" s="20"/>
      <c r="D8" s="20" t="s">
        <v>1759</v>
      </c>
      <c r="E8" s="20" t="s">
        <v>1760</v>
      </c>
      <c r="F8" s="20"/>
      <c r="G8" s="20" t="s">
        <v>354</v>
      </c>
      <c r="H8" s="22" t="s">
        <v>1761</v>
      </c>
    </row>
    <row r="9" spans="1:8" x14ac:dyDescent="0.25">
      <c r="A9" s="20" t="s">
        <v>1762</v>
      </c>
      <c r="B9" s="20" t="s">
        <v>1763</v>
      </c>
      <c r="C9" s="20"/>
      <c r="D9" s="20" t="s">
        <v>1764</v>
      </c>
      <c r="E9" s="20" t="s">
        <v>1765</v>
      </c>
      <c r="F9" s="20"/>
      <c r="G9" s="20" t="s">
        <v>1766</v>
      </c>
      <c r="H9" s="22" t="s">
        <v>1767</v>
      </c>
    </row>
    <row r="10" spans="1:8" x14ac:dyDescent="0.25">
      <c r="A10" s="20" t="s">
        <v>1768</v>
      </c>
      <c r="B10" s="20" t="s">
        <v>1769</v>
      </c>
      <c r="C10" s="20"/>
      <c r="D10" s="20"/>
      <c r="E10" s="20" t="s">
        <v>1770</v>
      </c>
      <c r="F10" s="20"/>
      <c r="G10" s="20" t="s">
        <v>851</v>
      </c>
      <c r="H10" s="22" t="s">
        <v>1771</v>
      </c>
    </row>
    <row r="11" spans="1:8" x14ac:dyDescent="0.25">
      <c r="A11" s="20" t="s">
        <v>1772</v>
      </c>
      <c r="B11" s="20" t="s">
        <v>1773</v>
      </c>
      <c r="C11" s="20"/>
      <c r="D11" s="20"/>
      <c r="E11" s="20" t="s">
        <v>1774</v>
      </c>
      <c r="F11" s="20"/>
      <c r="G11" s="20" t="s">
        <v>744</v>
      </c>
      <c r="H11" s="22" t="s">
        <v>1775</v>
      </c>
    </row>
    <row r="12" spans="1:8" x14ac:dyDescent="0.25">
      <c r="A12" s="20"/>
      <c r="B12" s="20" t="s">
        <v>1776</v>
      </c>
      <c r="C12" s="20"/>
      <c r="D12" s="20"/>
      <c r="E12" s="20" t="s">
        <v>1777</v>
      </c>
      <c r="F12" s="20"/>
      <c r="G12" s="20" t="s">
        <v>200</v>
      </c>
      <c r="H12" s="22" t="s">
        <v>1778</v>
      </c>
    </row>
    <row r="13" spans="1:8" x14ac:dyDescent="0.25">
      <c r="A13" s="20"/>
      <c r="B13" s="20" t="s">
        <v>1779</v>
      </c>
      <c r="C13" s="20"/>
      <c r="D13" s="20"/>
      <c r="E13" s="20" t="s">
        <v>1780</v>
      </c>
      <c r="F13" s="20"/>
      <c r="G13" s="20" t="s">
        <v>220</v>
      </c>
      <c r="H13" s="22" t="s">
        <v>1781</v>
      </c>
    </row>
    <row r="14" spans="1:8" x14ac:dyDescent="0.25">
      <c r="A14" s="20"/>
      <c r="B14" s="20" t="s">
        <v>1782</v>
      </c>
      <c r="C14" s="20"/>
      <c r="D14" s="20"/>
      <c r="E14" s="20" t="s">
        <v>1783</v>
      </c>
      <c r="F14" s="20"/>
      <c r="G14" s="20" t="s">
        <v>1784</v>
      </c>
      <c r="H14" s="22"/>
    </row>
    <row r="15" spans="1:8" x14ac:dyDescent="0.25">
      <c r="A15" s="20"/>
      <c r="B15" s="20" t="s">
        <v>1785</v>
      </c>
      <c r="C15" s="20"/>
      <c r="D15" s="20"/>
      <c r="E15" s="20"/>
      <c r="F15" s="20"/>
      <c r="G15" s="20" t="s">
        <v>1786</v>
      </c>
      <c r="H15" s="22"/>
    </row>
    <row r="16" spans="1:8" x14ac:dyDescent="0.25">
      <c r="A16" s="20"/>
      <c r="B16" s="20" t="s">
        <v>1787</v>
      </c>
      <c r="C16" s="20"/>
      <c r="D16" s="20"/>
      <c r="E16" s="20"/>
      <c r="F16" s="20"/>
      <c r="G16" s="20" t="s">
        <v>1788</v>
      </c>
      <c r="H16" s="22"/>
    </row>
    <row r="17" spans="1:8" x14ac:dyDescent="0.25">
      <c r="A17" s="20"/>
      <c r="B17" s="20" t="s">
        <v>1789</v>
      </c>
      <c r="C17" s="20"/>
      <c r="D17" s="20"/>
      <c r="E17" s="20"/>
      <c r="F17" s="20"/>
      <c r="G17" s="20" t="s">
        <v>1790</v>
      </c>
      <c r="H17" s="20"/>
    </row>
    <row r="18" spans="1:8" x14ac:dyDescent="0.25">
      <c r="A18" s="20"/>
      <c r="B18" s="20" t="s">
        <v>1791</v>
      </c>
      <c r="C18" s="20"/>
      <c r="D18" s="20"/>
      <c r="E18" s="20"/>
      <c r="F18" s="20"/>
      <c r="G18" s="20" t="s">
        <v>1792</v>
      </c>
      <c r="H18" s="20"/>
    </row>
    <row r="19" spans="1:8" x14ac:dyDescent="0.25">
      <c r="A19" s="20"/>
      <c r="B19" s="20" t="s">
        <v>1793</v>
      </c>
      <c r="C19" s="20"/>
      <c r="D19" s="20"/>
      <c r="E19" s="20"/>
      <c r="F19" s="20"/>
      <c r="G19" s="20" t="s">
        <v>1794</v>
      </c>
      <c r="H19" s="20"/>
    </row>
    <row r="20" spans="1:8" x14ac:dyDescent="0.25">
      <c r="A20" s="20"/>
      <c r="B20" s="20" t="s">
        <v>1795</v>
      </c>
      <c r="C20" s="20"/>
      <c r="D20" s="20"/>
      <c r="E20" s="20"/>
      <c r="F20" s="20"/>
      <c r="G20" s="20" t="s">
        <v>1472</v>
      </c>
      <c r="H20" s="20"/>
    </row>
    <row r="21" spans="1:8" x14ac:dyDescent="0.25">
      <c r="A21" s="20"/>
      <c r="B21" s="20" t="s">
        <v>1796</v>
      </c>
      <c r="C21" s="20"/>
      <c r="D21" s="20"/>
      <c r="E21" s="20"/>
      <c r="F21" s="20"/>
      <c r="G21" s="20" t="s">
        <v>1797</v>
      </c>
      <c r="H21" s="20"/>
    </row>
    <row r="22" spans="1:8" x14ac:dyDescent="0.25">
      <c r="A22" s="20"/>
      <c r="B22" s="20" t="s">
        <v>1798</v>
      </c>
      <c r="C22" s="20"/>
      <c r="D22" s="20"/>
      <c r="E22" s="20"/>
      <c r="F22" s="20"/>
      <c r="G22" s="20" t="s">
        <v>250</v>
      </c>
      <c r="H22" s="20"/>
    </row>
    <row r="23" spans="1:8" x14ac:dyDescent="0.25">
      <c r="A23" s="20"/>
      <c r="B23" s="20" t="s">
        <v>1799</v>
      </c>
      <c r="C23" s="20"/>
      <c r="D23" s="20"/>
      <c r="E23" s="20"/>
      <c r="F23" s="20"/>
      <c r="G23" s="20" t="s">
        <v>542</v>
      </c>
      <c r="H23" s="20"/>
    </row>
    <row r="24" spans="1:8" x14ac:dyDescent="0.25">
      <c r="A24" s="20"/>
      <c r="B24" s="20" t="s">
        <v>1800</v>
      </c>
      <c r="C24" s="20"/>
      <c r="D24" s="20"/>
      <c r="E24" s="20"/>
      <c r="F24" s="20"/>
      <c r="G24" s="20" t="s">
        <v>1801</v>
      </c>
      <c r="H24" s="20"/>
    </row>
    <row r="25" spans="1:8" x14ac:dyDescent="0.25">
      <c r="A25" s="20"/>
      <c r="B25" s="20" t="s">
        <v>1802</v>
      </c>
      <c r="C25" s="20"/>
      <c r="D25" s="20"/>
      <c r="E25" s="20"/>
      <c r="F25" s="20"/>
      <c r="G25" s="20" t="s">
        <v>1803</v>
      </c>
      <c r="H25" s="20"/>
    </row>
    <row r="26" spans="1:8" x14ac:dyDescent="0.25">
      <c r="A26" s="20"/>
      <c r="B26" s="20" t="s">
        <v>1804</v>
      </c>
      <c r="C26" s="20"/>
      <c r="D26" s="20"/>
      <c r="E26" s="20"/>
      <c r="F26" s="20"/>
      <c r="G26" s="20" t="s">
        <v>1805</v>
      </c>
      <c r="H26" s="20"/>
    </row>
    <row r="27" spans="1:8" x14ac:dyDescent="0.25">
      <c r="A27" s="20"/>
      <c r="B27" s="20" t="s">
        <v>1806</v>
      </c>
      <c r="C27" s="20"/>
      <c r="D27" s="20"/>
      <c r="E27" s="20"/>
      <c r="F27" s="20"/>
      <c r="G27" s="20" t="s">
        <v>1807</v>
      </c>
      <c r="H27" s="20"/>
    </row>
    <row r="28" spans="1:8" x14ac:dyDescent="0.25">
      <c r="A28" s="20"/>
      <c r="B28" s="20" t="s">
        <v>1808</v>
      </c>
      <c r="C28" s="20"/>
      <c r="D28" s="20"/>
      <c r="E28" s="20"/>
      <c r="F28" s="20"/>
      <c r="G28" s="20" t="s">
        <v>1809</v>
      </c>
      <c r="H28" s="20"/>
    </row>
    <row r="29" spans="1:8" x14ac:dyDescent="0.25">
      <c r="A29" s="20"/>
      <c r="B29" s="20" t="s">
        <v>1810</v>
      </c>
      <c r="C29" s="20"/>
      <c r="D29" s="20"/>
      <c r="E29" s="20"/>
      <c r="F29" s="20"/>
      <c r="G29" s="20" t="s">
        <v>1811</v>
      </c>
      <c r="H29" s="20"/>
    </row>
    <row r="30" spans="1:8" x14ac:dyDescent="0.25">
      <c r="A30" s="20"/>
      <c r="B30" s="20" t="s">
        <v>1812</v>
      </c>
      <c r="C30" s="20"/>
      <c r="D30" s="20"/>
      <c r="E30" s="20"/>
      <c r="F30" s="20"/>
      <c r="G30" s="20" t="s">
        <v>1049</v>
      </c>
      <c r="H30" s="20"/>
    </row>
    <row r="31" spans="1:8" x14ac:dyDescent="0.25">
      <c r="A31" s="20"/>
      <c r="B31" s="20" t="s">
        <v>1813</v>
      </c>
      <c r="C31" s="20"/>
      <c r="D31" s="20"/>
      <c r="E31" s="20"/>
      <c r="F31" s="20"/>
      <c r="G31" s="20" t="s">
        <v>1230</v>
      </c>
      <c r="H31" s="20"/>
    </row>
    <row r="32" spans="1:8" x14ac:dyDescent="0.25">
      <c r="A32" s="20"/>
      <c r="B32" s="20"/>
      <c r="C32" s="20"/>
      <c r="D32" s="20"/>
      <c r="E32" s="20"/>
      <c r="F32" s="20"/>
      <c r="G32" s="20" t="s">
        <v>1814</v>
      </c>
      <c r="H32" s="20"/>
    </row>
    <row r="33" spans="1:8" x14ac:dyDescent="0.25">
      <c r="A33" s="20"/>
      <c r="B33" s="20"/>
      <c r="C33" s="20"/>
      <c r="D33" s="20"/>
      <c r="E33" s="20"/>
      <c r="F33" s="20"/>
      <c r="G33" s="20" t="s">
        <v>1492</v>
      </c>
      <c r="H33" s="20"/>
    </row>
    <row r="34" spans="1:8" x14ac:dyDescent="0.25">
      <c r="A34" s="20"/>
      <c r="B34" s="20"/>
      <c r="C34" s="20"/>
      <c r="D34" s="20"/>
      <c r="E34" s="20"/>
      <c r="F34" s="20"/>
      <c r="G34" s="20" t="s">
        <v>1392</v>
      </c>
      <c r="H34" s="20"/>
    </row>
    <row r="35" spans="1:8" x14ac:dyDescent="0.25">
      <c r="A35" s="20"/>
      <c r="B35" s="20"/>
      <c r="C35" s="20"/>
      <c r="D35" s="20"/>
      <c r="E35" s="20"/>
      <c r="F35" s="20"/>
      <c r="G35" s="20" t="s">
        <v>633</v>
      </c>
      <c r="H35" s="20"/>
    </row>
    <row r="36" spans="1:8" x14ac:dyDescent="0.25">
      <c r="A36" s="20"/>
      <c r="B36" s="20"/>
      <c r="C36" s="20"/>
      <c r="D36" s="20"/>
      <c r="E36" s="20"/>
      <c r="F36" s="20"/>
      <c r="G36" s="20" t="s">
        <v>1033</v>
      </c>
      <c r="H36" s="20"/>
    </row>
    <row r="37" spans="1:8" x14ac:dyDescent="0.25">
      <c r="A37" s="20"/>
      <c r="B37" s="20"/>
      <c r="C37" s="20"/>
      <c r="D37" s="20"/>
      <c r="E37" s="20"/>
      <c r="F37" s="20"/>
      <c r="G37" s="20" t="s">
        <v>1041</v>
      </c>
      <c r="H37" s="20"/>
    </row>
    <row r="38" spans="1:8" x14ac:dyDescent="0.25">
      <c r="A38" s="20"/>
      <c r="B38" s="20"/>
      <c r="C38" s="20"/>
      <c r="D38" s="20"/>
      <c r="E38" s="20"/>
      <c r="F38" s="20"/>
      <c r="G38" s="20" t="s">
        <v>1815</v>
      </c>
      <c r="H38" s="20"/>
    </row>
    <row r="39" spans="1:8" x14ac:dyDescent="0.25">
      <c r="A39" s="20"/>
      <c r="B39" s="20"/>
      <c r="C39" s="20"/>
      <c r="D39" s="20"/>
      <c r="E39" s="20"/>
      <c r="F39" s="20"/>
      <c r="G39" s="20" t="s">
        <v>1816</v>
      </c>
      <c r="H39" s="20"/>
    </row>
    <row r="40" spans="1:8" x14ac:dyDescent="0.25">
      <c r="A40" s="20"/>
      <c r="B40" s="20"/>
      <c r="C40" s="20"/>
      <c r="D40" s="20"/>
      <c r="E40" s="20"/>
      <c r="F40" s="20"/>
      <c r="G40" s="20" t="s">
        <v>1408</v>
      </c>
      <c r="H40" s="20"/>
    </row>
    <row r="41" spans="1:8" x14ac:dyDescent="0.25">
      <c r="A41" s="20"/>
      <c r="B41" s="20"/>
      <c r="C41" s="20"/>
      <c r="D41" s="20"/>
      <c r="E41" s="20"/>
      <c r="F41" s="20"/>
      <c r="G41" s="20" t="s">
        <v>1817</v>
      </c>
      <c r="H41" s="20"/>
    </row>
    <row r="42" spans="1:8" x14ac:dyDescent="0.25">
      <c r="A42" s="20"/>
      <c r="B42" s="20"/>
      <c r="C42" s="20"/>
      <c r="D42" s="20"/>
      <c r="E42" s="20"/>
      <c r="F42" s="20"/>
      <c r="G42" s="20" t="s">
        <v>1818</v>
      </c>
      <c r="H42" s="20"/>
    </row>
    <row r="43" spans="1:8" x14ac:dyDescent="0.25">
      <c r="A43" s="20"/>
      <c r="B43" s="20"/>
      <c r="C43" s="20"/>
      <c r="D43" s="20"/>
      <c r="E43" s="20"/>
      <c r="F43" s="20"/>
      <c r="G43" s="20" t="s">
        <v>1819</v>
      </c>
      <c r="H43" s="20"/>
    </row>
    <row r="44" spans="1:8" x14ac:dyDescent="0.25">
      <c r="A44" s="20"/>
      <c r="B44" s="20"/>
      <c r="C44" s="20"/>
      <c r="D44" s="20"/>
      <c r="E44" s="20"/>
      <c r="F44" s="20"/>
      <c r="G44" s="20" t="s">
        <v>1820</v>
      </c>
      <c r="H44" s="20"/>
    </row>
    <row r="45" spans="1:8" x14ac:dyDescent="0.25">
      <c r="A45" s="20"/>
      <c r="B45" s="20"/>
      <c r="C45" s="20"/>
      <c r="D45" s="20"/>
      <c r="E45" s="20"/>
      <c r="F45" s="20"/>
      <c r="G45" s="20" t="s">
        <v>80</v>
      </c>
      <c r="H45" s="20"/>
    </row>
    <row r="46" spans="1:8" x14ac:dyDescent="0.25">
      <c r="A46" s="20"/>
      <c r="B46" s="20"/>
      <c r="C46" s="20"/>
      <c r="D46" s="20"/>
      <c r="E46" s="20"/>
      <c r="F46" s="20"/>
      <c r="G46" s="20" t="s">
        <v>1421</v>
      </c>
      <c r="H46" s="20"/>
    </row>
    <row r="47" spans="1:8" x14ac:dyDescent="0.25">
      <c r="A47" s="20"/>
      <c r="B47" s="20"/>
      <c r="C47" s="20"/>
      <c r="D47" s="20"/>
      <c r="E47" s="20"/>
      <c r="F47" s="20"/>
      <c r="G47" s="20" t="s">
        <v>1821</v>
      </c>
      <c r="H47" s="20"/>
    </row>
    <row r="48" spans="1:8" x14ac:dyDescent="0.25">
      <c r="A48" s="20"/>
      <c r="B48" s="20"/>
      <c r="C48" s="20"/>
      <c r="D48" s="20"/>
      <c r="E48" s="20"/>
      <c r="F48" s="20"/>
      <c r="G48" s="20"/>
      <c r="H48" s="20"/>
    </row>
    <row r="49" spans="1:8" x14ac:dyDescent="0.25">
      <c r="A49" s="20"/>
      <c r="B49" s="20"/>
      <c r="C49" s="20"/>
      <c r="D49" s="20"/>
      <c r="E49" s="20"/>
      <c r="F49" s="20"/>
      <c r="G49" s="20"/>
      <c r="H49" s="20"/>
    </row>
    <row r="50" spans="1:8" x14ac:dyDescent="0.25">
      <c r="A50" s="20"/>
      <c r="B50" s="20"/>
      <c r="C50" s="20"/>
      <c r="D50" s="20"/>
      <c r="E50" s="20"/>
      <c r="F50" s="20"/>
      <c r="G50" s="20"/>
      <c r="H50" s="20"/>
    </row>
    <row r="51" spans="1:8" x14ac:dyDescent="0.25">
      <c r="A51" s="20"/>
      <c r="B51" s="20"/>
      <c r="C51" s="20"/>
      <c r="D51" s="20"/>
      <c r="E51" s="20"/>
      <c r="F51" s="20"/>
      <c r="G51" s="20"/>
      <c r="H51" s="20"/>
    </row>
    <row r="52" spans="1:8" x14ac:dyDescent="0.25">
      <c r="A52" s="20"/>
      <c r="B52" s="20"/>
      <c r="C52" s="20"/>
      <c r="D52" s="20"/>
      <c r="E52" s="20"/>
      <c r="F52" s="20"/>
      <c r="G52" s="20"/>
      <c r="H52" s="20"/>
    </row>
    <row r="53" spans="1:8" x14ac:dyDescent="0.25">
      <c r="A53" s="20"/>
      <c r="B53" s="20"/>
      <c r="C53" s="20"/>
      <c r="D53" s="20"/>
      <c r="E53" s="20"/>
      <c r="F53" s="20"/>
      <c r="G53" s="20"/>
      <c r="H53" s="20"/>
    </row>
    <row r="54" spans="1:8" x14ac:dyDescent="0.25">
      <c r="A54" s="20"/>
      <c r="D54" s="20"/>
      <c r="E54" s="20"/>
      <c r="F54" s="20"/>
      <c r="G54" s="20"/>
      <c r="H54" s="20"/>
    </row>
    <row r="55" spans="1:8" x14ac:dyDescent="0.25">
      <c r="A55" s="20"/>
      <c r="D55" s="20"/>
      <c r="E55" s="20"/>
      <c r="F55" s="20"/>
      <c r="G55" s="20"/>
      <c r="H55" s="20"/>
    </row>
    <row r="60" spans="1:8" x14ac:dyDescent="0.25">
      <c r="C60" t="s">
        <v>2140</v>
      </c>
    </row>
  </sheetData>
  <phoneticPr fontId="1" type="noConversion"/>
  <pageMargins left="0.70078740157480313" right="0.70078740157480313" top="0.75196850393700787" bottom="0.75196850393700787" header="0.29921259842519687" footer="0.29921259842519687"/>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MJ20"/>
  <sheetViews>
    <sheetView showGridLines="0" workbookViewId="0">
      <pane ySplit="1" topLeftCell="A2" activePane="bottomLeft" state="frozen"/>
      <selection pane="bottomLeft" activeCell="D13" sqref="D13"/>
    </sheetView>
  </sheetViews>
  <sheetFormatPr defaultColWidth="9" defaultRowHeight="15.6" x14ac:dyDescent="0.25"/>
  <cols>
    <col min="1" max="1" width="12.21875" style="166" customWidth="1"/>
    <col min="2" max="2" width="12.21875" style="109" customWidth="1"/>
    <col min="3" max="3" width="13.88671875" style="109" customWidth="1"/>
    <col min="4" max="4" width="51.6640625" style="109" customWidth="1"/>
    <col min="5" max="8" width="45.33203125" style="109" customWidth="1"/>
    <col min="9" max="1024" width="9" style="109"/>
  </cols>
  <sheetData>
    <row r="1" spans="1:1024" ht="16.2" x14ac:dyDescent="0.25">
      <c r="A1" s="167" t="s">
        <v>1822</v>
      </c>
      <c r="B1" s="110" t="s">
        <v>1823</v>
      </c>
      <c r="C1" s="110" t="s">
        <v>1824</v>
      </c>
      <c r="D1" s="110" t="s">
        <v>1825</v>
      </c>
      <c r="E1" s="110" t="s">
        <v>1826</v>
      </c>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110"/>
      <c r="CP1" s="110"/>
      <c r="CQ1" s="110"/>
      <c r="CR1" s="110"/>
      <c r="CS1" s="110"/>
      <c r="CT1" s="110"/>
      <c r="CU1" s="110"/>
      <c r="CV1" s="110"/>
      <c r="CW1" s="110"/>
      <c r="CX1" s="110"/>
      <c r="CY1" s="110"/>
      <c r="CZ1" s="110"/>
      <c r="DA1" s="110"/>
      <c r="DB1" s="110"/>
      <c r="DC1" s="110"/>
      <c r="DD1" s="110"/>
      <c r="DE1" s="110"/>
      <c r="DF1" s="110"/>
      <c r="DG1" s="110"/>
      <c r="DH1" s="110"/>
      <c r="DI1" s="110"/>
      <c r="DJ1" s="110"/>
      <c r="DK1" s="110"/>
      <c r="DL1" s="110"/>
      <c r="DM1" s="110"/>
      <c r="DN1" s="110"/>
      <c r="DO1" s="110"/>
      <c r="DP1" s="110"/>
      <c r="DQ1" s="110"/>
      <c r="DR1" s="110"/>
      <c r="DS1" s="110"/>
      <c r="DT1" s="110"/>
      <c r="DU1" s="110"/>
      <c r="DV1" s="110"/>
      <c r="DW1" s="110"/>
      <c r="DX1" s="110"/>
      <c r="DY1" s="110"/>
      <c r="DZ1" s="110"/>
      <c r="EA1" s="110"/>
      <c r="EB1" s="110"/>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110"/>
      <c r="FN1" s="110"/>
      <c r="FO1" s="110"/>
      <c r="FP1" s="110"/>
      <c r="FQ1" s="110"/>
      <c r="FR1" s="110"/>
      <c r="FS1" s="110"/>
      <c r="FT1" s="110"/>
      <c r="FU1" s="110"/>
      <c r="FV1" s="110"/>
      <c r="FW1" s="110"/>
      <c r="FX1" s="110"/>
      <c r="FY1" s="110"/>
      <c r="FZ1" s="110"/>
      <c r="GA1" s="110"/>
      <c r="GB1" s="110"/>
      <c r="GC1" s="110"/>
      <c r="GD1" s="110"/>
      <c r="GE1" s="110"/>
      <c r="GF1" s="110"/>
      <c r="GG1" s="110"/>
      <c r="GH1" s="110"/>
      <c r="GI1" s="110"/>
      <c r="GJ1" s="110"/>
      <c r="GK1" s="110"/>
      <c r="GL1" s="110"/>
      <c r="GM1" s="110"/>
      <c r="GN1" s="110"/>
      <c r="GO1" s="110"/>
      <c r="GP1" s="110"/>
      <c r="GQ1" s="110"/>
      <c r="GR1" s="110"/>
      <c r="GS1" s="110"/>
      <c r="GT1" s="110"/>
      <c r="GU1" s="110"/>
      <c r="GV1" s="110"/>
      <c r="GW1" s="110"/>
      <c r="GX1" s="110"/>
      <c r="GY1" s="110"/>
      <c r="GZ1" s="110"/>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110"/>
      <c r="IL1" s="110"/>
      <c r="IM1" s="110"/>
      <c r="IN1" s="110"/>
      <c r="IO1" s="110"/>
      <c r="IP1" s="110"/>
      <c r="IQ1" s="110"/>
      <c r="IR1" s="110"/>
      <c r="IS1" s="110"/>
      <c r="IT1" s="110"/>
      <c r="IU1" s="110"/>
      <c r="IV1" s="110"/>
      <c r="IW1" s="110"/>
      <c r="IX1" s="110"/>
      <c r="IY1" s="110"/>
      <c r="IZ1" s="110"/>
      <c r="JA1" s="110"/>
      <c r="JB1" s="110"/>
      <c r="JC1" s="110"/>
      <c r="JD1" s="110"/>
      <c r="JE1" s="110"/>
      <c r="JF1" s="110"/>
      <c r="JG1" s="110"/>
      <c r="JH1" s="110"/>
      <c r="JI1" s="110"/>
      <c r="JJ1" s="110"/>
      <c r="JK1" s="110"/>
      <c r="JL1" s="110"/>
      <c r="JM1" s="110"/>
      <c r="JN1" s="110"/>
      <c r="JO1" s="110"/>
      <c r="JP1" s="110"/>
      <c r="JQ1" s="110"/>
      <c r="JR1" s="110"/>
      <c r="JS1" s="110"/>
      <c r="JT1" s="110"/>
      <c r="JU1" s="110"/>
      <c r="JV1" s="110"/>
      <c r="JW1" s="110"/>
      <c r="JX1" s="110"/>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110"/>
      <c r="LJ1" s="110"/>
      <c r="LK1" s="110"/>
      <c r="LL1" s="110"/>
      <c r="LM1" s="110"/>
      <c r="LN1" s="110"/>
      <c r="LO1" s="110"/>
      <c r="LP1" s="110"/>
      <c r="LQ1" s="110"/>
      <c r="LR1" s="110"/>
      <c r="LS1" s="110"/>
      <c r="LT1" s="110"/>
      <c r="LU1" s="110"/>
      <c r="LV1" s="110"/>
      <c r="LW1" s="110"/>
      <c r="LX1" s="110"/>
      <c r="LY1" s="110"/>
      <c r="LZ1" s="110"/>
      <c r="MA1" s="110"/>
      <c r="MB1" s="110"/>
      <c r="MC1" s="110"/>
      <c r="MD1" s="110"/>
      <c r="ME1" s="110"/>
      <c r="MF1" s="110"/>
      <c r="MG1" s="110"/>
      <c r="MH1" s="110"/>
      <c r="MI1" s="110"/>
      <c r="MJ1" s="110"/>
      <c r="MK1" s="110"/>
      <c r="ML1" s="110"/>
      <c r="MM1" s="110"/>
      <c r="MN1" s="110"/>
      <c r="MO1" s="110"/>
      <c r="MP1" s="110"/>
      <c r="MQ1" s="110"/>
      <c r="MR1" s="110"/>
      <c r="MS1" s="110"/>
      <c r="MT1" s="110"/>
      <c r="MU1" s="110"/>
      <c r="MV1" s="110"/>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110"/>
      <c r="OH1" s="110"/>
      <c r="OI1" s="110"/>
      <c r="OJ1" s="110"/>
      <c r="OK1" s="110"/>
      <c r="OL1" s="110"/>
      <c r="OM1" s="110"/>
      <c r="ON1" s="110"/>
      <c r="OO1" s="110"/>
      <c r="OP1" s="110"/>
      <c r="OQ1" s="110"/>
      <c r="OR1" s="110"/>
      <c r="OS1" s="110"/>
      <c r="OT1" s="110"/>
      <c r="OU1" s="110"/>
      <c r="OV1" s="110"/>
      <c r="OW1" s="110"/>
      <c r="OX1" s="110"/>
      <c r="OY1" s="110"/>
      <c r="OZ1" s="110"/>
      <c r="PA1" s="110"/>
      <c r="PB1" s="110"/>
      <c r="PC1" s="110"/>
      <c r="PD1" s="110"/>
      <c r="PE1" s="110"/>
      <c r="PF1" s="110"/>
      <c r="PG1" s="110"/>
      <c r="PH1" s="110"/>
      <c r="PI1" s="110"/>
      <c r="PJ1" s="110"/>
      <c r="PK1" s="110"/>
      <c r="PL1" s="110"/>
      <c r="PM1" s="110"/>
      <c r="PN1" s="110"/>
      <c r="PO1" s="110"/>
      <c r="PP1" s="110"/>
      <c r="PQ1" s="110"/>
      <c r="PR1" s="110"/>
      <c r="PS1" s="110"/>
      <c r="PT1" s="110"/>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110"/>
      <c r="RF1" s="110"/>
      <c r="RG1" s="110"/>
      <c r="RH1" s="110"/>
      <c r="RI1" s="110"/>
      <c r="RJ1" s="110"/>
      <c r="RK1" s="110"/>
      <c r="RL1" s="110"/>
      <c r="RM1" s="110"/>
      <c r="RN1" s="110"/>
      <c r="RO1" s="110"/>
      <c r="RP1" s="110"/>
      <c r="RQ1" s="110"/>
      <c r="RR1" s="110"/>
      <c r="RS1" s="110"/>
      <c r="RT1" s="110"/>
      <c r="RU1" s="110"/>
      <c r="RV1" s="110"/>
      <c r="RW1" s="110"/>
      <c r="RX1" s="110"/>
      <c r="RY1" s="110"/>
      <c r="RZ1" s="110"/>
      <c r="SA1" s="110"/>
      <c r="SB1" s="110"/>
      <c r="SC1" s="110"/>
      <c r="SD1" s="110"/>
      <c r="SE1" s="110"/>
      <c r="SF1" s="110"/>
      <c r="SG1" s="110"/>
      <c r="SH1" s="110"/>
      <c r="SI1" s="110"/>
      <c r="SJ1" s="110"/>
      <c r="SK1" s="110"/>
      <c r="SL1" s="110"/>
      <c r="SM1" s="110"/>
      <c r="SN1" s="110"/>
      <c r="SO1" s="110"/>
      <c r="SP1" s="110"/>
      <c r="SQ1" s="110"/>
      <c r="SR1" s="110"/>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110"/>
      <c r="UD1" s="110"/>
      <c r="UE1" s="110"/>
      <c r="UF1" s="110"/>
      <c r="UG1" s="110"/>
      <c r="UH1" s="110"/>
      <c r="UI1" s="110"/>
      <c r="UJ1" s="110"/>
      <c r="UK1" s="110"/>
      <c r="UL1" s="110"/>
      <c r="UM1" s="110"/>
      <c r="UN1" s="110"/>
      <c r="UO1" s="110"/>
      <c r="UP1" s="110"/>
      <c r="UQ1" s="110"/>
      <c r="UR1" s="110"/>
      <c r="US1" s="110"/>
      <c r="UT1" s="110"/>
      <c r="UU1" s="110"/>
      <c r="UV1" s="110"/>
      <c r="UW1" s="110"/>
      <c r="UX1" s="110"/>
      <c r="UY1" s="110"/>
      <c r="UZ1" s="110"/>
      <c r="VA1" s="110"/>
      <c r="VB1" s="110"/>
      <c r="VC1" s="110"/>
      <c r="VD1" s="110"/>
      <c r="VE1" s="110"/>
      <c r="VF1" s="110"/>
      <c r="VG1" s="110"/>
      <c r="VH1" s="110"/>
      <c r="VI1" s="110"/>
      <c r="VJ1" s="110"/>
      <c r="VK1" s="110"/>
      <c r="VL1" s="110"/>
      <c r="VM1" s="110"/>
      <c r="VN1" s="110"/>
      <c r="VO1" s="110"/>
      <c r="VP1" s="110"/>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110"/>
      <c r="XB1" s="110"/>
      <c r="XC1" s="110"/>
      <c r="XD1" s="110"/>
      <c r="XE1" s="110"/>
      <c r="XF1" s="110"/>
      <c r="XG1" s="110"/>
      <c r="XH1" s="110"/>
      <c r="XI1" s="110"/>
      <c r="XJ1" s="110"/>
      <c r="XK1" s="110"/>
      <c r="XL1" s="110"/>
      <c r="XM1" s="110"/>
      <c r="XN1" s="110"/>
      <c r="XO1" s="110"/>
      <c r="XP1" s="110"/>
      <c r="XQ1" s="110"/>
      <c r="XR1" s="110"/>
      <c r="XS1" s="110"/>
      <c r="XT1" s="110"/>
      <c r="XU1" s="110"/>
      <c r="XV1" s="110"/>
      <c r="XW1" s="110"/>
      <c r="XX1" s="110"/>
      <c r="XY1" s="110"/>
      <c r="XZ1" s="110"/>
      <c r="YA1" s="110"/>
      <c r="YB1" s="110"/>
      <c r="YC1" s="110"/>
      <c r="YD1" s="110"/>
      <c r="YE1" s="110"/>
      <c r="YF1" s="110"/>
      <c r="YG1" s="110"/>
      <c r="YH1" s="110"/>
      <c r="YI1" s="110"/>
      <c r="YJ1" s="110"/>
      <c r="YK1" s="110"/>
      <c r="YL1" s="110"/>
      <c r="YM1" s="110"/>
      <c r="YN1" s="110"/>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110"/>
      <c r="ZZ1" s="110"/>
      <c r="AAA1" s="110"/>
      <c r="AAB1" s="110"/>
      <c r="AAC1" s="110"/>
      <c r="AAD1" s="110"/>
      <c r="AAE1" s="110"/>
      <c r="AAF1" s="110"/>
      <c r="AAG1" s="110"/>
      <c r="AAH1" s="110"/>
      <c r="AAI1" s="110"/>
      <c r="AAJ1" s="110"/>
      <c r="AAK1" s="110"/>
      <c r="AAL1" s="110"/>
      <c r="AAM1" s="110"/>
      <c r="AAN1" s="110"/>
      <c r="AAO1" s="110"/>
      <c r="AAP1" s="110"/>
      <c r="AAQ1" s="110"/>
      <c r="AAR1" s="110"/>
      <c r="AAS1" s="110"/>
      <c r="AAT1" s="110"/>
      <c r="AAU1" s="110"/>
      <c r="AAV1" s="110"/>
      <c r="AAW1" s="110"/>
      <c r="AAX1" s="110"/>
      <c r="AAY1" s="110"/>
      <c r="AAZ1" s="110"/>
      <c r="ABA1" s="110"/>
      <c r="ABB1" s="110"/>
      <c r="ABC1" s="110"/>
      <c r="ABD1" s="110"/>
      <c r="ABE1" s="110"/>
      <c r="ABF1" s="110"/>
      <c r="ABG1" s="110"/>
      <c r="ABH1" s="110"/>
      <c r="ABI1" s="110"/>
      <c r="ABJ1" s="110"/>
      <c r="ABK1" s="110"/>
      <c r="ABL1" s="110"/>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110"/>
      <c r="ACX1" s="110"/>
      <c r="ACY1" s="110"/>
      <c r="ACZ1" s="110"/>
      <c r="ADA1" s="110"/>
      <c r="ADB1" s="110"/>
      <c r="ADC1" s="110"/>
      <c r="ADD1" s="110"/>
      <c r="ADE1" s="110"/>
      <c r="ADF1" s="110"/>
      <c r="ADG1" s="110"/>
      <c r="ADH1" s="110"/>
      <c r="ADI1" s="110"/>
      <c r="ADJ1" s="110"/>
      <c r="ADK1" s="110"/>
      <c r="ADL1" s="110"/>
      <c r="ADM1" s="110"/>
      <c r="ADN1" s="110"/>
      <c r="ADO1" s="110"/>
      <c r="ADP1" s="110"/>
      <c r="ADQ1" s="110"/>
      <c r="ADR1" s="110"/>
      <c r="ADS1" s="110"/>
      <c r="ADT1" s="110"/>
      <c r="ADU1" s="110"/>
      <c r="ADV1" s="110"/>
      <c r="ADW1" s="110"/>
      <c r="ADX1" s="110"/>
      <c r="ADY1" s="110"/>
      <c r="ADZ1" s="110"/>
      <c r="AEA1" s="110"/>
      <c r="AEB1" s="110"/>
      <c r="AEC1" s="110"/>
      <c r="AED1" s="110"/>
      <c r="AEE1" s="110"/>
      <c r="AEF1" s="110"/>
      <c r="AEG1" s="110"/>
      <c r="AEH1" s="110"/>
      <c r="AEI1" s="110"/>
      <c r="AEJ1" s="110"/>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110"/>
      <c r="AFV1" s="110"/>
      <c r="AFW1" s="110"/>
      <c r="AFX1" s="110"/>
      <c r="AFY1" s="110"/>
      <c r="AFZ1" s="110"/>
      <c r="AGA1" s="110"/>
      <c r="AGB1" s="110"/>
      <c r="AGC1" s="110"/>
      <c r="AGD1" s="110"/>
      <c r="AGE1" s="110"/>
      <c r="AGF1" s="110"/>
      <c r="AGG1" s="110"/>
      <c r="AGH1" s="110"/>
      <c r="AGI1" s="110"/>
      <c r="AGJ1" s="110"/>
      <c r="AGK1" s="110"/>
      <c r="AGL1" s="110"/>
      <c r="AGM1" s="110"/>
      <c r="AGN1" s="110"/>
      <c r="AGO1" s="110"/>
      <c r="AGP1" s="110"/>
      <c r="AGQ1" s="110"/>
      <c r="AGR1" s="110"/>
      <c r="AGS1" s="110"/>
      <c r="AGT1" s="110"/>
      <c r="AGU1" s="110"/>
      <c r="AGV1" s="110"/>
      <c r="AGW1" s="110"/>
      <c r="AGX1" s="110"/>
      <c r="AGY1" s="110"/>
      <c r="AGZ1" s="110"/>
      <c r="AHA1" s="110"/>
      <c r="AHB1" s="110"/>
      <c r="AHC1" s="110"/>
      <c r="AHD1" s="110"/>
      <c r="AHE1" s="110"/>
      <c r="AHF1" s="110"/>
      <c r="AHG1" s="110"/>
      <c r="AHH1" s="110"/>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c r="AIS1" s="110"/>
      <c r="AIT1" s="110"/>
      <c r="AIU1" s="110"/>
      <c r="AIV1" s="110"/>
      <c r="AIW1" s="110"/>
      <c r="AIX1" s="110"/>
      <c r="AIY1" s="110"/>
      <c r="AIZ1" s="110"/>
      <c r="AJA1" s="110"/>
      <c r="AJB1" s="110"/>
      <c r="AJC1" s="110"/>
      <c r="AJD1" s="110"/>
      <c r="AJE1" s="110"/>
      <c r="AJF1" s="110"/>
      <c r="AJG1" s="110"/>
      <c r="AJH1" s="110"/>
      <c r="AJI1" s="110"/>
      <c r="AJJ1" s="110"/>
      <c r="AJK1" s="110"/>
      <c r="AJL1" s="110"/>
      <c r="AJM1" s="110"/>
      <c r="AJN1" s="110"/>
      <c r="AJO1" s="110"/>
      <c r="AJP1" s="110"/>
      <c r="AJQ1" s="110"/>
      <c r="AJR1" s="110"/>
      <c r="AJS1" s="110"/>
      <c r="AJT1" s="110"/>
      <c r="AJU1" s="110"/>
      <c r="AJV1" s="110"/>
      <c r="AJW1" s="110"/>
      <c r="AJX1" s="110"/>
      <c r="AJY1" s="110"/>
      <c r="AJZ1" s="110"/>
      <c r="AKA1" s="110"/>
      <c r="AKB1" s="110"/>
      <c r="AKC1" s="110"/>
      <c r="AKD1" s="110"/>
      <c r="AKE1" s="110"/>
      <c r="AKF1" s="110"/>
      <c r="AKG1" s="110"/>
      <c r="AKH1" s="110"/>
      <c r="AKI1" s="110"/>
      <c r="AKJ1" s="110"/>
      <c r="AKK1" s="110"/>
      <c r="AKL1" s="110"/>
      <c r="AKM1" s="110"/>
      <c r="AKN1" s="110"/>
      <c r="AKO1" s="110"/>
      <c r="AKP1" s="110"/>
      <c r="AKQ1" s="110"/>
      <c r="AKR1" s="110"/>
      <c r="AKS1" s="110"/>
      <c r="AKT1" s="110"/>
      <c r="AKU1" s="110"/>
      <c r="AKV1" s="110"/>
      <c r="AKW1" s="110"/>
      <c r="AKX1" s="110"/>
      <c r="AKY1" s="110"/>
      <c r="AKZ1" s="110"/>
      <c r="ALA1" s="110"/>
      <c r="ALB1" s="110"/>
      <c r="ALC1" s="110"/>
      <c r="ALD1" s="110"/>
      <c r="ALE1" s="110"/>
      <c r="ALF1" s="110"/>
      <c r="ALG1" s="110"/>
      <c r="ALH1" s="110"/>
      <c r="ALI1" s="110"/>
      <c r="ALJ1" s="110"/>
      <c r="ALK1" s="110"/>
      <c r="ALL1" s="110"/>
      <c r="ALM1" s="110"/>
      <c r="ALN1" s="110"/>
      <c r="ALO1" s="110"/>
      <c r="ALP1" s="110"/>
      <c r="ALQ1" s="110"/>
      <c r="ALR1" s="110"/>
      <c r="ALS1" s="110"/>
      <c r="ALT1" s="110"/>
      <c r="ALU1" s="110"/>
      <c r="ALV1" s="110"/>
      <c r="ALW1" s="110"/>
      <c r="ALX1" s="110"/>
      <c r="ALY1" s="110"/>
      <c r="ALZ1" s="110"/>
      <c r="AMA1" s="110"/>
      <c r="AMB1" s="110"/>
      <c r="AMC1" s="110"/>
      <c r="AMD1" s="110"/>
      <c r="AME1" s="110"/>
      <c r="AMF1" s="110"/>
      <c r="AMG1" s="110"/>
      <c r="AMH1" s="110"/>
      <c r="AMI1" s="110"/>
      <c r="AMJ1" s="110"/>
    </row>
    <row r="2" spans="1:1024" ht="56.25" customHeight="1" x14ac:dyDescent="0.25">
      <c r="A2" s="166">
        <v>45768</v>
      </c>
      <c r="B2" s="165" t="s">
        <v>1805</v>
      </c>
      <c r="C2" s="165" t="s">
        <v>1827</v>
      </c>
      <c r="D2" s="109" t="s">
        <v>1828</v>
      </c>
      <c r="E2" s="109" t="s">
        <v>1829</v>
      </c>
    </row>
    <row r="3" spans="1:1024" ht="54" customHeight="1" x14ac:dyDescent="0.25">
      <c r="A3" s="166">
        <v>45825</v>
      </c>
      <c r="B3" s="165"/>
      <c r="C3" s="165" t="s">
        <v>1830</v>
      </c>
      <c r="D3" s="109" t="s">
        <v>1831</v>
      </c>
    </row>
    <row r="4" spans="1:1024" ht="22.5" customHeight="1" x14ac:dyDescent="0.25">
      <c r="C4" s="165" t="s">
        <v>1830</v>
      </c>
      <c r="D4" s="109" t="s">
        <v>1832</v>
      </c>
    </row>
    <row r="5" spans="1:1024" ht="22.5" customHeight="1" x14ac:dyDescent="0.25">
      <c r="C5" s="165" t="s">
        <v>1830</v>
      </c>
      <c r="D5" s="109" t="s">
        <v>1833</v>
      </c>
    </row>
    <row r="6" spans="1:1024" ht="31.2" x14ac:dyDescent="0.25">
      <c r="C6" s="165" t="s">
        <v>1830</v>
      </c>
      <c r="D6" s="109" t="s">
        <v>1834</v>
      </c>
    </row>
    <row r="7" spans="1:1024" ht="24" customHeight="1" x14ac:dyDescent="0.25">
      <c r="C7" s="165" t="s">
        <v>1830</v>
      </c>
      <c r="D7" s="109" t="s">
        <v>1835</v>
      </c>
    </row>
    <row r="8" spans="1:1024" ht="24" customHeight="1" x14ac:dyDescent="0.25">
      <c r="C8" s="165" t="s">
        <v>1830</v>
      </c>
      <c r="D8" s="109" t="s">
        <v>1836</v>
      </c>
    </row>
    <row r="9" spans="1:1024" ht="24" customHeight="1" x14ac:dyDescent="0.25">
      <c r="A9" s="166">
        <v>45831</v>
      </c>
      <c r="B9" s="165"/>
      <c r="C9" s="165" t="s">
        <v>1830</v>
      </c>
      <c r="D9" s="109" t="s">
        <v>1837</v>
      </c>
    </row>
    <row r="10" spans="1:1024" ht="24" customHeight="1" x14ac:dyDescent="0.25">
      <c r="C10" s="165" t="s">
        <v>1830</v>
      </c>
      <c r="D10" s="109" t="s">
        <v>1838</v>
      </c>
    </row>
    <row r="11" spans="1:1024" ht="24" customHeight="1" x14ac:dyDescent="0.25">
      <c r="C11" s="165" t="s">
        <v>1830</v>
      </c>
      <c r="D11" s="109" t="s">
        <v>1839</v>
      </c>
    </row>
    <row r="12" spans="1:1024" ht="24" customHeight="1" x14ac:dyDescent="0.25">
      <c r="C12" s="165" t="s">
        <v>1830</v>
      </c>
      <c r="D12" s="109" t="s">
        <v>1840</v>
      </c>
    </row>
    <row r="13" spans="1:1024" ht="31.2" x14ac:dyDescent="0.25">
      <c r="C13" s="165" t="s">
        <v>1830</v>
      </c>
      <c r="D13" s="109" t="s">
        <v>1841</v>
      </c>
    </row>
    <row r="14" spans="1:1024" ht="24" customHeight="1" x14ac:dyDescent="0.25">
      <c r="C14" s="165" t="s">
        <v>1830</v>
      </c>
      <c r="D14" s="109" t="s">
        <v>1842</v>
      </c>
    </row>
    <row r="15" spans="1:1024" ht="24" customHeight="1" x14ac:dyDescent="0.25">
      <c r="A15" s="166">
        <v>45838</v>
      </c>
      <c r="B15" s="165"/>
      <c r="C15" s="165" t="s">
        <v>1830</v>
      </c>
      <c r="D15" s="109" t="s">
        <v>1843</v>
      </c>
    </row>
    <row r="16" spans="1:1024" ht="25.5" customHeight="1" x14ac:dyDescent="0.25">
      <c r="A16" s="166">
        <v>45859</v>
      </c>
      <c r="B16" s="165"/>
      <c r="C16" s="165" t="s">
        <v>1830</v>
      </c>
      <c r="D16" s="109" t="s">
        <v>1844</v>
      </c>
    </row>
    <row r="17" spans="1:4" ht="31.2" x14ac:dyDescent="0.25">
      <c r="C17" s="165" t="s">
        <v>1830</v>
      </c>
      <c r="D17" s="109" t="s">
        <v>1845</v>
      </c>
    </row>
    <row r="18" spans="1:4" ht="25.5" customHeight="1" x14ac:dyDescent="0.25">
      <c r="C18" s="165" t="s">
        <v>1830</v>
      </c>
      <c r="D18" s="109" t="s">
        <v>1846</v>
      </c>
    </row>
    <row r="19" spans="1:4" ht="25.5" customHeight="1" x14ac:dyDescent="0.25">
      <c r="C19" s="165" t="s">
        <v>1830</v>
      </c>
      <c r="D19" s="109" t="s">
        <v>1847</v>
      </c>
    </row>
    <row r="20" spans="1:4" ht="46.8" x14ac:dyDescent="0.25">
      <c r="A20" s="166">
        <v>45922</v>
      </c>
      <c r="B20" s="165" t="s">
        <v>1805</v>
      </c>
      <c r="C20" s="165" t="s">
        <v>1827</v>
      </c>
      <c r="D20" s="109" t="s">
        <v>1848</v>
      </c>
    </row>
  </sheetData>
  <phoneticPr fontId="0" type="noConversion"/>
  <pageMargins left="0.70078740157480313" right="0.70078740157480313" top="0.75196850393700787" bottom="0.75196850393700787" header="0.29921259842519687" footer="0.29921259842519687"/>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基设网安</vt:lpstr>
      <vt:lpstr>业务经营</vt:lpstr>
      <vt:lpstr>管理应用</vt:lpstr>
      <vt:lpstr>生产运营</vt:lpstr>
      <vt:lpstr>瑞恒基地</vt:lpstr>
      <vt:lpstr>基础数据</vt:lpstr>
      <vt:lpstr>产业链BP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陈莹怡(Chen Yingyi 中化国际)</dc:creator>
  <cp:lastModifiedBy>user</cp:lastModifiedBy>
  <cp:lastPrinted>2024-04-23T01:35:53Z</cp:lastPrinted>
  <dcterms:created xsi:type="dcterms:W3CDTF">2015-06-05T18:19:34Z</dcterms:created>
  <dcterms:modified xsi:type="dcterms:W3CDTF">2025-12-27T08:41:33Z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